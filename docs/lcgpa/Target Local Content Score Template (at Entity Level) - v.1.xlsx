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codeName="ThisWorkbook"/>
  <mc:AlternateContent xmlns:mc="http://schemas.openxmlformats.org/markup-compatibility/2006">
    <mc:Choice Requires="x15">
      <x15ac:absPath xmlns:x15ac="http://schemas.microsoft.com/office/spreadsheetml/2010/11/ac" url="C:\Users\malogiely\Desktop\النماذج المحدثة\"/>
    </mc:Choice>
  </mc:AlternateContent>
  <xr:revisionPtr revIDLastSave="0" documentId="13_ncr:1_{8D4813D8-F31D-4443-B473-C7255FEF53F3}" xr6:coauthVersionLast="36" xr6:coauthVersionMax="47" xr10:uidLastSave="{00000000-0000-0000-0000-000000000000}"/>
  <bookViews>
    <workbookView xWindow="0" yWindow="0" windowWidth="38400" windowHeight="16725" tabRatio="897" xr2:uid="{00000000-000D-0000-FFFF-FFFF00000000}"/>
  </bookViews>
  <sheets>
    <sheet name="Overview" sheetId="15" r:id="rId1"/>
    <sheet name="Section 1. General Information" sheetId="1" r:id="rId2"/>
    <sheet name="Section 2. Evaluation" sheetId="2" r:id="rId3"/>
    <sheet name="Section 3. Labor" sheetId="3" r:id="rId4"/>
    <sheet name="Section 4. Goods and Services" sheetId="4" r:id="rId5"/>
    <sheet name="Section 5. Capacity Building" sheetId="5" r:id="rId6"/>
    <sheet name="Section 6. Depreciation &amp; Amor." sheetId="11" r:id="rId7"/>
    <sheet name="Appendix A" sheetId="14" r:id="rId8"/>
  </sheets>
  <definedNames>
    <definedName name="Above400M">#REF!</definedName>
    <definedName name="Baseline">#REF!</definedName>
    <definedName name="Below400M">#REF!</definedName>
    <definedName name="Contract">#REF!</definedName>
    <definedName name="Distributor">#REF!</definedName>
    <definedName name="Entity">#REF!</definedName>
    <definedName name="Final">#REF!</definedName>
    <definedName name="Foreign">#REF!</definedName>
    <definedName name="Level">#REF!</definedName>
    <definedName name="LevelSelection">#REF!</definedName>
    <definedName name="ListTypes">#REF!</definedName>
    <definedName name="NoContract">#REF!</definedName>
    <definedName name="Other">#REF!</definedName>
    <definedName name="Periodic">#REF!</definedName>
    <definedName name="Producer">#REF!</definedName>
    <definedName name="Product">#REF!</definedName>
    <definedName name="Provider">#REF!</definedName>
    <definedName name="Purpose">#REF!</definedName>
    <definedName name="PurposeSelection">#REF!</definedName>
    <definedName name="ScenarioLabelIDs">#REF!</definedName>
    <definedName name="ScenarioLabels">#REF!</definedName>
    <definedName name="Supplementary">#REF!</definedName>
    <definedName name="Supplier">#REF!</definedName>
    <definedName name="SupplierTypes">#REF!</definedName>
    <definedName name="Target">#REF!</definedName>
    <definedName name="Value">#REF!</definedName>
    <definedName name="ValueSelect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C17" i="5" l="1"/>
  <c r="K14" i="4" l="1"/>
  <c r="M54" i="4" l="1"/>
  <c r="C13" i="2" l="1"/>
  <c r="C14" i="2"/>
  <c r="C15" i="2"/>
  <c r="G13" i="11"/>
  <c r="G14" i="11"/>
  <c r="G15" i="11"/>
  <c r="G16" i="11"/>
  <c r="E10" i="3" l="1"/>
  <c r="K15" i="4" l="1"/>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C3" i="2" l="1"/>
  <c r="C6" i="2" l="1"/>
  <c r="C5" i="2"/>
  <c r="C4" i="2"/>
  <c r="B4" i="2"/>
  <c r="C6" i="11"/>
  <c r="C5" i="11"/>
  <c r="C4" i="11"/>
  <c r="C3" i="11"/>
  <c r="C6" i="5"/>
  <c r="C5" i="5"/>
  <c r="C4" i="5"/>
  <c r="C3" i="5"/>
  <c r="C6" i="4"/>
  <c r="C5" i="4"/>
  <c r="C4" i="4"/>
  <c r="C3" i="4"/>
  <c r="C6" i="3"/>
  <c r="C5" i="3"/>
  <c r="C4" i="3"/>
  <c r="C3" i="3"/>
  <c r="B4" i="5" l="1"/>
  <c r="B4" i="4"/>
  <c r="D12" i="3" l="1"/>
  <c r="C12" i="3"/>
  <c r="L18" i="4" l="1"/>
  <c r="L14" i="4"/>
  <c r="E24" i="11"/>
  <c r="M55" i="4"/>
  <c r="G23" i="11"/>
  <c r="G22" i="11"/>
  <c r="G21" i="11"/>
  <c r="G20" i="11"/>
  <c r="G19" i="11"/>
  <c r="G18" i="11"/>
  <c r="G17" i="11"/>
  <c r="A14" i="11"/>
  <c r="A15" i="11" s="1"/>
  <c r="A16" i="11" s="1"/>
  <c r="A17" i="11" s="1"/>
  <c r="A18" i="11" s="1"/>
  <c r="A19" i="11" s="1"/>
  <c r="A20" i="11" s="1"/>
  <c r="A21" i="11" s="1"/>
  <c r="A22" i="11" s="1"/>
  <c r="A23" i="11" s="1"/>
  <c r="A15" i="4"/>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C17" i="2"/>
  <c r="B4" i="3"/>
  <c r="E12" i="3"/>
  <c r="E11" i="3" l="1"/>
  <c r="C11" i="2"/>
  <c r="G24" i="11"/>
  <c r="G25" i="11" s="1"/>
  <c r="C10" i="2" s="1"/>
  <c r="L51" i="4"/>
  <c r="N51" i="4" s="1"/>
  <c r="L43" i="4"/>
  <c r="N43" i="4" s="1"/>
  <c r="L35" i="4"/>
  <c r="N35" i="4" s="1"/>
  <c r="L27" i="4"/>
  <c r="N27" i="4" s="1"/>
  <c r="L19" i="4"/>
  <c r="N19" i="4" s="1"/>
  <c r="L50" i="4"/>
  <c r="N50" i="4" s="1"/>
  <c r="L42" i="4"/>
  <c r="N42" i="4" s="1"/>
  <c r="L34" i="4"/>
  <c r="N34" i="4" s="1"/>
  <c r="L26" i="4"/>
  <c r="N26" i="4" s="1"/>
  <c r="L53" i="4"/>
  <c r="N53" i="4" s="1"/>
  <c r="L49" i="4"/>
  <c r="N49" i="4" s="1"/>
  <c r="L45" i="4"/>
  <c r="N45" i="4" s="1"/>
  <c r="L41" i="4"/>
  <c r="N41" i="4" s="1"/>
  <c r="L37" i="4"/>
  <c r="N37" i="4" s="1"/>
  <c r="L33" i="4"/>
  <c r="N33" i="4" s="1"/>
  <c r="L29" i="4"/>
  <c r="N29" i="4" s="1"/>
  <c r="L25" i="4"/>
  <c r="N25" i="4" s="1"/>
  <c r="L21" i="4"/>
  <c r="N21" i="4" s="1"/>
  <c r="L17" i="4"/>
  <c r="N17" i="4" s="1"/>
  <c r="L47" i="4"/>
  <c r="N47" i="4" s="1"/>
  <c r="L39" i="4"/>
  <c r="N39" i="4" s="1"/>
  <c r="L31" i="4"/>
  <c r="N31" i="4" s="1"/>
  <c r="L23" i="4"/>
  <c r="N23" i="4" s="1"/>
  <c r="L46" i="4"/>
  <c r="N46" i="4" s="1"/>
  <c r="L38" i="4"/>
  <c r="N38" i="4" s="1"/>
  <c r="L30" i="4"/>
  <c r="N30" i="4" s="1"/>
  <c r="L22" i="4"/>
  <c r="N22" i="4" s="1"/>
  <c r="L15" i="4"/>
  <c r="N15" i="4" s="1"/>
  <c r="L52" i="4"/>
  <c r="N52" i="4" s="1"/>
  <c r="L48" i="4"/>
  <c r="N48" i="4" s="1"/>
  <c r="L44" i="4"/>
  <c r="N44" i="4" s="1"/>
  <c r="L40" i="4"/>
  <c r="N40" i="4" s="1"/>
  <c r="L36" i="4"/>
  <c r="N36" i="4" s="1"/>
  <c r="L32" i="4"/>
  <c r="N32" i="4" s="1"/>
  <c r="L28" i="4"/>
  <c r="N28" i="4" s="1"/>
  <c r="L24" i="4"/>
  <c r="N24" i="4" s="1"/>
  <c r="L20" i="4"/>
  <c r="N20" i="4" s="1"/>
  <c r="L16" i="4"/>
  <c r="N16" i="4" s="1"/>
  <c r="B4" i="11"/>
  <c r="N14" i="4"/>
  <c r="E25" i="11"/>
  <c r="F25" i="11" s="1"/>
  <c r="N18" i="4"/>
  <c r="L54" i="4" l="1"/>
  <c r="N54" i="4" s="1"/>
  <c r="N55" i="4" s="1"/>
  <c r="F10" i="4" s="1"/>
  <c r="C12" i="2" l="1"/>
  <c r="C16" i="2" s="1"/>
  <c r="C18" i="2" s="1"/>
</calcChain>
</file>

<file path=xl/sharedStrings.xml><?xml version="1.0" encoding="utf-8"?>
<sst xmlns="http://schemas.openxmlformats.org/spreadsheetml/2006/main" count="301" uniqueCount="252">
  <si>
    <t>Description</t>
  </si>
  <si>
    <t>ABC</t>
  </si>
  <si>
    <t>Heading of the table</t>
  </si>
  <si>
    <t>Formula or pre-filled data</t>
  </si>
  <si>
    <t>Local Content Score (%)</t>
  </si>
  <si>
    <t>Contribution to Local Content (%)</t>
  </si>
  <si>
    <t>Contribution to Local Content (SAR)</t>
  </si>
  <si>
    <t>Section 4: Goods and Services</t>
  </si>
  <si>
    <t>Section 5: Capacity Building</t>
  </si>
  <si>
    <t>YES</t>
  </si>
  <si>
    <t>NO</t>
  </si>
  <si>
    <t>Other (please give examples)</t>
  </si>
  <si>
    <t>Other (please describe)</t>
  </si>
  <si>
    <t>Office furniture, desks, cubicles, office chairs</t>
  </si>
  <si>
    <t xml:space="preserve">Section 2. Evaluation </t>
  </si>
  <si>
    <t>Section 1. General Information</t>
  </si>
  <si>
    <t>Section 3. Labor</t>
  </si>
  <si>
    <t>Section 4. Goods &amp; Services</t>
  </si>
  <si>
    <t>Section 5. Capacity Building</t>
  </si>
  <si>
    <t>Local Content 
Score (%)</t>
  </si>
  <si>
    <t>Selected 
Score (%)</t>
  </si>
  <si>
    <t>Data to be filled by the Entity</t>
  </si>
  <si>
    <t>Heading of the column or row</t>
  </si>
  <si>
    <t>Overview</t>
  </si>
  <si>
    <t>Contents</t>
  </si>
  <si>
    <t>Format</t>
  </si>
  <si>
    <t>The procurement of locally produced raw materials produced in agriculture, forestry &amp; fishing; all processed materials from these sectors should be categorized as manufacturing</t>
  </si>
  <si>
    <t>The procurement of locally produced raw materials extracted by the mining industry (e.g., coal, metal ores)</t>
  </si>
  <si>
    <t>The procurement of locally produced food, beverage and tobacco products</t>
  </si>
  <si>
    <t>Sector</t>
  </si>
  <si>
    <t>A.1 List of Sector Local Content Scores</t>
  </si>
  <si>
    <t>Section 1: General Information</t>
  </si>
  <si>
    <t>The procurement of all Services related to healthcare (the procurement of healthcare equipment and pharmaceuticals is categorized under Goods sectors)</t>
  </si>
  <si>
    <t>The procurement of Services not categorized elsewhere (e.g., recreation activities, household activities)</t>
  </si>
  <si>
    <t>The procurement of Services from foreign Service providers, i.e. entities without legal registration in KSA (direct Service imports)</t>
  </si>
  <si>
    <t>The procurement of any kind of Goods from KSA Suppliers who do not produce these Goods; instead, distributors/ traders import and distribute these Goods</t>
  </si>
  <si>
    <t>The procurement of Goods from foreign producers, i.e. entities without legal registration in KSA (direct Goods imports)</t>
  </si>
  <si>
    <t>The procurement of onshore drilling services</t>
  </si>
  <si>
    <t>The procurement of offshore drilling services</t>
  </si>
  <si>
    <t xml:space="preserve">The procurement of foreign service through local agents. This sector includes travel agencies  </t>
  </si>
  <si>
    <t>The procurement of locally produced chemicals where the raw material is imported. This sector includes paint manufacturers</t>
  </si>
  <si>
    <t>The procurement of locally produced machinery and equipment</t>
  </si>
  <si>
    <t>The procurement of locally produced  cement, concrete and gypsum</t>
  </si>
  <si>
    <t>The procurement of locally recycled metal scrap, paper, plastic and rubber</t>
  </si>
  <si>
    <t>The procurement of locally produced steel rebar</t>
  </si>
  <si>
    <t>The procurement of information and telecommunication Services (e.g., Information service activities, computer programming, broadcasting, telecommunications)</t>
  </si>
  <si>
    <t>The procurement of Services for food and beverages (e.g. Restaurants, catering; the purchase of ready-made food &amp; beverage products is not included)</t>
  </si>
  <si>
    <t xml:space="preserve">The procurement of locally produced static equipment such as tanks, pressure vessels and valves (control valves excluded) and steel manufacturers and structural  </t>
  </si>
  <si>
    <t>The procurement of Services for Mining</t>
  </si>
  <si>
    <t>The procurement of locally produced chemicals, plastics, manufactured chemical Goods, and Oil &amp; Gas product (e.g. Rubber).</t>
  </si>
  <si>
    <t>Tender Name</t>
  </si>
  <si>
    <t>Contract Start Date (DD/MM/YYYY)</t>
  </si>
  <si>
    <t>1.3 Contact person</t>
  </si>
  <si>
    <t>1.4 Entity Description</t>
  </si>
  <si>
    <t>Section 3: Labor</t>
  </si>
  <si>
    <t>Entity Name</t>
  </si>
  <si>
    <t>Appendix A</t>
  </si>
  <si>
    <t>Appendix A.</t>
  </si>
  <si>
    <t>1.2 Entity Information</t>
  </si>
  <si>
    <t>Tender Information</t>
  </si>
  <si>
    <t>Tender information</t>
  </si>
  <si>
    <t>General information on Sector Local Content Scores</t>
  </si>
  <si>
    <t>The procurement of security services including guard and patrol services (e.g. Security of facilities) and armored car services, operation of electronic security alarm systems (e.g. fire alarm)</t>
  </si>
  <si>
    <t>80, 811001</t>
  </si>
  <si>
    <t>The procurement of Professional consulting, Such as engineering, accounting, legal, management consultancy (e.g. strategic, financial planning, budgeting, marketing, policies, HR)</t>
  </si>
  <si>
    <t>69-74 Exc. 712</t>
  </si>
  <si>
    <t>The procurement of Professional consulting, Such as engineering, accounting, legal, management consultancy (e.g. strategic, financial planning, budgeting, marketing, policies, HR) provided by a local representative of foreign professional service provider</t>
  </si>
  <si>
    <t>The procurement of services for selling or buying real estate, providing other real estate services such as appraising real estate or acting as real estate escrow agents. Exc. Facility rental</t>
  </si>
  <si>
    <t>68 Exc.68102</t>
  </si>
  <si>
    <t xml:space="preserve">The procurement of construction Services, specialized construction activities for buildings and civil engineering works (e.g., contracting; the procurement of pure construction materials is categorized under Goods sectors), interior and exterior painting of buildings </t>
  </si>
  <si>
    <t xml:space="preserve">41-43 </t>
  </si>
  <si>
    <t xml:space="preserve">The procurement of all education activities for any profession, oral or written as well as by radio and television or other means of communication (e.g., professional training, language education) </t>
  </si>
  <si>
    <t>75, 85</t>
  </si>
  <si>
    <t>The procurement of all financial Services (e.g., banking, funds management); this category also includes the procurement of insurance and pension Services (e.g., health insurance, transport insurance, accident and fire insurance)</t>
  </si>
  <si>
    <t>64-66</t>
  </si>
  <si>
    <t>86-88</t>
  </si>
  <si>
    <t>84</t>
  </si>
  <si>
    <t>The procurement of transport and logistics services from locally based service providers. This sector includes shipping, transportation, cargo services and Saudi based airlines (including freight forward),(Foreign airlines booked by local agency is categorized under foreign service agent),Exc. Rental of cars</t>
  </si>
  <si>
    <t>49-53 Exc.49225, 79-7911</t>
  </si>
  <si>
    <t>06, 091</t>
  </si>
  <si>
    <t>09</t>
  </si>
  <si>
    <t>Rental of Cars, Trucks and Equipment including power generation equipment (including the driver services)</t>
  </si>
  <si>
    <t>49225, 773-7730, 771</t>
  </si>
  <si>
    <t>78</t>
  </si>
  <si>
    <t>582, 61-63</t>
  </si>
  <si>
    <t>39, 58-60 Exc. 582, 772, 773074-7740, 7912-7990, 81-8110, 812-8299, 90-99</t>
  </si>
  <si>
    <t>N /A (supplier type)</t>
  </si>
  <si>
    <t>01-03</t>
  </si>
  <si>
    <t>10-12</t>
  </si>
  <si>
    <t>19-20, 22, 352</t>
  </si>
  <si>
    <t>265-268, 28 Exc.2813&amp;2814, 29-30</t>
  </si>
  <si>
    <t>27, 2814</t>
  </si>
  <si>
    <t>05, 07-08</t>
  </si>
  <si>
    <t>24-25 Exc.25114&amp;25921, 2813</t>
  </si>
  <si>
    <t xml:space="preserve"> 2394-2395</t>
  </si>
  <si>
    <t xml:space="preserve"> 261-264</t>
  </si>
  <si>
    <t>381103, 383</t>
  </si>
  <si>
    <t>45-47</t>
  </si>
  <si>
    <t xml:space="preserve">Section 6: Depreciation and Amortization </t>
  </si>
  <si>
    <t>Total depreciation and amortization from foreign Assets</t>
  </si>
  <si>
    <t>Total depreciation and amortization</t>
  </si>
  <si>
    <t>Section 6. Depreciation and Amortization</t>
  </si>
  <si>
    <t>Remaining expenses (SAR)</t>
  </si>
  <si>
    <t>Total expenses (SAR)</t>
  </si>
  <si>
    <t>Produced in KSA</t>
  </si>
  <si>
    <t>Planned Depreciation/Amortization (SAR)</t>
  </si>
  <si>
    <t>2_SERVICES - KSA Food and Beverages</t>
  </si>
  <si>
    <t>3_SERVICES - KSA Industrial Services</t>
  </si>
  <si>
    <t>4_SERVICES - KSA Security Services</t>
  </si>
  <si>
    <t>5_SERVICES - KSA local Professional Services</t>
  </si>
  <si>
    <t>6_SERVICES - KSA local representative of Foreign professional service provider</t>
  </si>
  <si>
    <t>7_SERVICES - KSA Real Estate</t>
  </si>
  <si>
    <t>8_SERVICES - KSA Construction</t>
  </si>
  <si>
    <t>9_SERVICES - KSA Education</t>
  </si>
  <si>
    <t>10_SERVICES - KSA Finance and Insurance</t>
  </si>
  <si>
    <t>11_SERVICES - KSA Healthcare</t>
  </si>
  <si>
    <t>12_SERVICES - KSA Public Administration and Defence</t>
  </si>
  <si>
    <t>13_SERVICES - KSA Transport and Logistics</t>
  </si>
  <si>
    <t>14_SERVICES - KSA Onshore Drilling</t>
  </si>
  <si>
    <t>15_SERVICES - KSA Offshore Drilling</t>
  </si>
  <si>
    <t>16_SERVICES - KSA Mining</t>
  </si>
  <si>
    <t>22_SERVICES - Foreign Service Agent</t>
  </si>
  <si>
    <t>23_SERVICES - Foreign</t>
  </si>
  <si>
    <t>24_GOODS - KSA Agriculture, Forestry and Fishing</t>
  </si>
  <si>
    <t>25_GOODS - KSA Food and Beverage</t>
  </si>
  <si>
    <t>26_GOODS - KSA Chemicals &amp; Oil and Gas</t>
  </si>
  <si>
    <t>27_GOODS - KSA Chemical Blending</t>
  </si>
  <si>
    <t>28_GOODS - KSA Machinery and Equipment</t>
  </si>
  <si>
    <t>29_GOODS - KSA Electrical Materials</t>
  </si>
  <si>
    <t xml:space="preserve">The procurement of locally produced electrical materials including switch gears, junction boxes, trays, conduits, fixtures, inverters skid and other electrical materials, , Excluding PV panels and electrical inverters. </t>
  </si>
  <si>
    <t>30_GOODS - KSA Mining</t>
  </si>
  <si>
    <t>31_GOODS - KSA Static Equipment</t>
  </si>
  <si>
    <t>32_GOODS - KSA Cement and Gypsum</t>
  </si>
  <si>
    <t>34_GOODS - KSA IT &amp; Telecom Manufacturing</t>
  </si>
  <si>
    <t>35_GOODS - KSA Other Manufacturing</t>
  </si>
  <si>
    <t>The procurement of locally produced paper products, wood products, furniture, secondary raw material, textiles, pharmaceuticals and other industries, Including PV panels and electrical inverters.</t>
  </si>
  <si>
    <t>13-18, 21, 23 Exc.2394&amp;2395, 31-32 (Inc. 2790 PV panels and Electrical inverters)</t>
  </si>
  <si>
    <t>36_GOODS - KSA Recyclers</t>
  </si>
  <si>
    <t>37_GOODS - KSA Agent or Distributor</t>
  </si>
  <si>
    <t>Goods/Services</t>
  </si>
  <si>
    <t>Local/Foreign</t>
  </si>
  <si>
    <t>Research and Development Incentive Score (%)</t>
  </si>
  <si>
    <t>33_GOODS - KSA Steel Rebar Manufacturing</t>
  </si>
  <si>
    <t>Local Content from depreciation and amortization</t>
  </si>
  <si>
    <r>
      <t>Total expense of Goods and Services (SAR)</t>
    </r>
    <r>
      <rPr>
        <b/>
        <vertAlign val="superscript"/>
        <sz val="11"/>
        <color theme="0"/>
        <rFont val="Calibri"/>
        <family val="2"/>
      </rPr>
      <t>1</t>
    </r>
  </si>
  <si>
    <t>Contribution to Local Content from Goods and Services (SAR)</t>
  </si>
  <si>
    <t>Sector 
Score (%)</t>
  </si>
  <si>
    <r>
      <t>Building and Land Improvements</t>
    </r>
    <r>
      <rPr>
        <vertAlign val="superscript"/>
        <sz val="11"/>
        <color theme="1"/>
        <rFont val="Calibri"/>
        <family val="2"/>
        <scheme val="minor"/>
      </rPr>
      <t>1</t>
    </r>
  </si>
  <si>
    <t>Buildings / Land and Building Improvements</t>
  </si>
  <si>
    <t>Industrial equipment, testing equipment, information and communication technology equipment</t>
  </si>
  <si>
    <t>Mobile cranes, Trucks, vans, cars, trailers, fork lifts</t>
  </si>
  <si>
    <t>1_SERVICES - KSA Accommodation and Facility Rental</t>
  </si>
  <si>
    <t>17_SERVICES - KSA Cars, Trucks and Equipment Rental</t>
  </si>
  <si>
    <t>18_SERVICES - KSA Man Power Supply</t>
  </si>
  <si>
    <t>19_SERVICES - IT &amp; Telecom Services</t>
  </si>
  <si>
    <t>20_SERVICES - KSA Other Services</t>
  </si>
  <si>
    <t>21_SERVICES - Utilities</t>
  </si>
  <si>
    <t>38_GOODS - Foreign</t>
  </si>
  <si>
    <t>The procurement of Services for short-term accommodation (e.g. Hotels) Camping grounds, Other accommodation (e.g. student residences) and rental of office buildings, compounds, warehouses, etc.</t>
  </si>
  <si>
    <t>The procurement of testing, inspection, certification, calibration, maintenance, blasting, painting, coating and galvanizing services, steam and air conditioning supply</t>
  </si>
  <si>
    <t>The procurement of services of electricity supply, water supply; sewerage.</t>
  </si>
  <si>
    <t>55, 68102</t>
  </si>
  <si>
    <t>25921, 33, 35, Exc. 351&amp;352, 38 Exc.381103&amp;383, 712</t>
  </si>
  <si>
    <t>351, 36, 37</t>
  </si>
  <si>
    <t>The Local Content Template is provided by the Local Content and Government Procurement Authority to allow the entity to measure its contribution to Local Content. This Template provides a unified tool for reporting Local Content Score.</t>
  </si>
  <si>
    <r>
      <rPr>
        <b/>
        <sz val="20"/>
        <color theme="1"/>
        <rFont val="Calibri"/>
        <family val="2"/>
        <scheme val="minor"/>
      </rPr>
      <t>Target Local Content Score Template (at Entity Level)</t>
    </r>
    <r>
      <rPr>
        <b/>
        <sz val="16"/>
        <color theme="1"/>
        <rFont val="Calibri"/>
        <family val="2"/>
        <scheme val="minor"/>
      </rPr>
      <t xml:space="preserve">
</t>
    </r>
    <r>
      <rPr>
        <b/>
        <sz val="17"/>
        <color theme="1"/>
        <rFont val="Calibri"/>
        <family val="2"/>
        <scheme val="minor"/>
      </rPr>
      <t xml:space="preserve">   Local Content and Government Procurement Authority</t>
    </r>
  </si>
  <si>
    <t>General information about the entity and the types of products and services it provides</t>
  </si>
  <si>
    <t>Calculation and evaluation of the Local Content score for the entity</t>
  </si>
  <si>
    <t>The entity's relevant expenses on labor compensation for the financial year prior the end of the contract.</t>
  </si>
  <si>
    <t>The entity's relevant Goods and Services expenses for the financial year prior the end of the contract.</t>
  </si>
  <si>
    <t>The entity's relevant expenses on KSA capacity building for the financial year prior the end of the contract.</t>
  </si>
  <si>
    <t>The entity's depreciation and amortization for the financial year prior the end of the contract.</t>
  </si>
  <si>
    <t>Local content scores for Goods and Services sectors</t>
  </si>
  <si>
    <t>*This document was originally prepared in Arabic, and the Arabic version should prevail.</t>
  </si>
  <si>
    <t>Project Owner</t>
  </si>
  <si>
    <t>Contract End Date (DD/MM/YYYY)</t>
  </si>
  <si>
    <t>Full Name</t>
  </si>
  <si>
    <t>Main Address</t>
  </si>
  <si>
    <r>
      <t>End of the Financial Year (DD/MM/YYYY)</t>
    </r>
    <r>
      <rPr>
        <b/>
        <vertAlign val="superscript"/>
        <sz val="11"/>
        <color theme="0"/>
        <rFont val="Calibri"/>
        <family val="2"/>
        <scheme val="minor"/>
      </rPr>
      <t>1</t>
    </r>
  </si>
  <si>
    <r>
      <t>KSA Commercial Registration Number</t>
    </r>
    <r>
      <rPr>
        <b/>
        <vertAlign val="superscript"/>
        <sz val="11"/>
        <color theme="0"/>
        <rFont val="Calibri"/>
        <family val="2"/>
        <scheme val="minor"/>
      </rPr>
      <t>2</t>
    </r>
  </si>
  <si>
    <t>E-mail Address</t>
  </si>
  <si>
    <t>Office Phone Number</t>
  </si>
  <si>
    <t>Mobile Phone Number</t>
  </si>
  <si>
    <t>Please provide a brief description of the types of goods and services provided by the entity</t>
  </si>
  <si>
    <r>
      <t>Please provide a brief description of the entity's achievements to in developing the Local Content in KSA</t>
    </r>
    <r>
      <rPr>
        <b/>
        <vertAlign val="superscript"/>
        <sz val="11"/>
        <color theme="0"/>
        <rFont val="Calibri"/>
        <family val="2"/>
        <scheme val="minor"/>
      </rPr>
      <t>3</t>
    </r>
  </si>
  <si>
    <t>1. The entity's end of the financial year prior the end of the contract.</t>
  </si>
  <si>
    <t>2. The entity's commercial registration number, if it is not available, please enter “Not applicable” to indicate that it does not have a commercial registration number in the Kingdom of Saudi Arabia.</t>
  </si>
  <si>
    <t>3. Local Content is defined as the total spending on Saudi components within Labor, Goods &amp; Services, Capacity Building, Assets, Technology and other elements within the Kingdom of Saudi Arabia.</t>
  </si>
  <si>
    <t xml:space="preserve">1.1 Tender Information </t>
  </si>
  <si>
    <t xml:space="preserve">1.5 Local Content Achievements </t>
  </si>
  <si>
    <t>Section 2: Evaluation of Target Local Content Score</t>
  </si>
  <si>
    <r>
      <t>2.1 Target Local Content Score</t>
    </r>
    <r>
      <rPr>
        <b/>
        <vertAlign val="superscript"/>
        <sz val="16"/>
        <color indexed="9"/>
        <rFont val="Calibri"/>
        <family val="2"/>
        <scheme val="minor"/>
      </rPr>
      <t>1</t>
    </r>
  </si>
  <si>
    <t>Evaluation Criteria</t>
  </si>
  <si>
    <t xml:space="preserve">Local Content from labor </t>
  </si>
  <si>
    <t xml:space="preserve">Local Content from Goods and Services </t>
  </si>
  <si>
    <t xml:space="preserve">Local Content from Saudi training </t>
  </si>
  <si>
    <t xml:space="preserve">Local Content from Supplier development </t>
  </si>
  <si>
    <t xml:space="preserve">Local Content from research and development </t>
  </si>
  <si>
    <t>Total Local Content Contribution for the Reporting Period</t>
  </si>
  <si>
    <r>
      <t>Total Relevant Cost of the Contract for the Reporting Period</t>
    </r>
    <r>
      <rPr>
        <b/>
        <vertAlign val="superscript"/>
        <sz val="11"/>
        <color theme="0"/>
        <rFont val="Calibri"/>
        <family val="2"/>
        <scheme val="minor"/>
      </rPr>
      <t>2</t>
    </r>
  </si>
  <si>
    <t>Target Local Content Score (%)</t>
  </si>
  <si>
    <t>1. The target local content score shows the value of the local content that the entity will contribute during the financial year prior the end of the contract.</t>
  </si>
  <si>
    <t xml:space="preserve">2. The planned total cost during the financial year prior the end of the contract for operational activities including employee compensation, goods and services, capacity building, and depreciation and amortization of assets. </t>
  </si>
  <si>
    <r>
      <t>3.1 Planned Labor Compensations during the Financial Year Prior the End of the Contract</t>
    </r>
    <r>
      <rPr>
        <b/>
        <vertAlign val="superscript"/>
        <sz val="16"/>
        <color indexed="9"/>
        <rFont val="Calibri"/>
        <family val="2"/>
        <scheme val="minor"/>
      </rPr>
      <t>1</t>
    </r>
  </si>
  <si>
    <r>
      <t>Compensation of Saudi employees (SAR)</t>
    </r>
    <r>
      <rPr>
        <b/>
        <vertAlign val="superscript"/>
        <sz val="11"/>
        <color theme="0"/>
        <rFont val="Calibri"/>
        <family val="2"/>
        <scheme val="minor"/>
      </rPr>
      <t>3</t>
    </r>
  </si>
  <si>
    <t>Compensation of foreign employees (SAR)</t>
  </si>
  <si>
    <t>Total compensation
(SAR)</t>
  </si>
  <si>
    <r>
      <t>Total compensation (SAR)</t>
    </r>
    <r>
      <rPr>
        <b/>
        <vertAlign val="superscript"/>
        <sz val="11"/>
        <color theme="0"/>
        <rFont val="Calibri"/>
        <family val="2"/>
        <scheme val="minor"/>
      </rPr>
      <t>2</t>
    </r>
  </si>
  <si>
    <t>1. Planned compensation of Saudi and foreign employees of the entity in the Kingdom of Saudi Arabia during the financial year prior the end of the contract, excluding the training expenses of Saudis included in Section 5 “Capacity Building”.</t>
  </si>
  <si>
    <t>2. Employees compensations includes salaries, wages, bonuses and benefits (e.g.: commissions, overtime, transportation allowances, housing allowances, vacations, other allowances, end-of-service benefits provision, and General Organization for Social Insurance (“GOSI”) contributions).</t>
  </si>
  <si>
    <t>3. A Saudi employee is any person who holds Saudi nationality or who is legally treated as a Saudi.</t>
  </si>
  <si>
    <t>4.1 Planned Total Expenses during the Financial Year Prior the End of the Contract</t>
  </si>
  <si>
    <t>4.2 Planned Expenses on Goods and Services during the Financial Year Prior the End of the Contract</t>
  </si>
  <si>
    <r>
      <t>KSA Commercial registration number (If identified)</t>
    </r>
    <r>
      <rPr>
        <b/>
        <vertAlign val="superscript"/>
        <sz val="11"/>
        <color theme="0"/>
        <rFont val="Calibri"/>
        <family val="2"/>
        <scheme val="minor"/>
      </rPr>
      <t>3</t>
    </r>
  </si>
  <si>
    <t>Brief description of the goods or services provided</t>
  </si>
  <si>
    <t>Sector of the goods or services procured from the supplier</t>
  </si>
  <si>
    <r>
      <t>Audited Score (%), If applicable</t>
    </r>
    <r>
      <rPr>
        <b/>
        <vertAlign val="superscript"/>
        <sz val="11"/>
        <color theme="0"/>
        <rFont val="Calibri"/>
        <family val="2"/>
        <scheme val="minor"/>
      </rPr>
      <t>4</t>
    </r>
  </si>
  <si>
    <r>
      <t>Planned Total Expenses (SAR)</t>
    </r>
    <r>
      <rPr>
        <b/>
        <vertAlign val="superscript"/>
        <sz val="11"/>
        <color theme="0"/>
        <rFont val="Calibri"/>
        <family val="2"/>
        <scheme val="minor"/>
      </rPr>
      <t>5</t>
    </r>
  </si>
  <si>
    <t>Local Content Contribution (SAR)</t>
  </si>
  <si>
    <r>
      <t>Full Name (If identified)</t>
    </r>
    <r>
      <rPr>
        <b/>
        <vertAlign val="superscript"/>
        <sz val="11"/>
        <color theme="0"/>
        <rFont val="Calibri"/>
        <family val="2"/>
      </rPr>
      <t>2</t>
    </r>
  </si>
  <si>
    <t>1. Includes the planned operating expenses and overhead costs of the entity on goods and services during the financial year prior the end of the contract.</t>
  </si>
  <si>
    <t>2. List at least 70% or top 40 suppliers of the planned total expenses on Goods and Services in descending order by cost. The entity should contact LCGPA, in order to list more than 40 suppliers.</t>
  </si>
  <si>
    <t>3. Supplier's commercial registration number in the Kingdom of Saudi Arabia, and if it is not available, please enter the license number or “not applicable” to indicate that the supplier does not have a commercial registration or license number in the Kingdom of Saudi Arabia.</t>
  </si>
  <si>
    <t>4. Enter the supplier's latest audited score or use the sector score of the consumed goods or services.</t>
  </si>
  <si>
    <t>5. Planned total expenses refer to the value of total purchases, consumed materials or provided services from suppliers -individually- by the entity during the financial year prior the end of the contract, as per the Guidelines and related instructions.</t>
  </si>
  <si>
    <t>5.1 Planned Expenses on Training of Saudis</t>
  </si>
  <si>
    <r>
      <t>Expenses during the financial year prior the end of the contract (SAR)</t>
    </r>
    <r>
      <rPr>
        <b/>
        <vertAlign val="superscript"/>
        <sz val="11"/>
        <color theme="0"/>
        <rFont val="Calibri"/>
        <family val="2"/>
        <scheme val="minor"/>
      </rPr>
      <t>1</t>
    </r>
  </si>
  <si>
    <t>5.2 Planned Expenses on KSA Suppliers Development</t>
  </si>
  <si>
    <r>
      <t>Expenses during the financial year prior the end of the contract (SAR)</t>
    </r>
    <r>
      <rPr>
        <b/>
        <vertAlign val="superscript"/>
        <sz val="11"/>
        <color theme="0"/>
        <rFont val="Calibri"/>
        <family val="2"/>
        <scheme val="minor"/>
      </rPr>
      <t>2</t>
    </r>
  </si>
  <si>
    <t>5.3 Planned Expenses on KSA Research and Development</t>
  </si>
  <si>
    <r>
      <t>Expenses during the financial year prior the end of the contract (SAR)</t>
    </r>
    <r>
      <rPr>
        <b/>
        <vertAlign val="superscript"/>
        <sz val="11"/>
        <color theme="0"/>
        <rFont val="Calibri"/>
        <family val="2"/>
        <scheme val="minor"/>
      </rPr>
      <t>3</t>
    </r>
  </si>
  <si>
    <t>Total Revenue during the financial year prior the end of the contract (SAR)</t>
  </si>
  <si>
    <t>1. Planned expenses on the training of Saudi employees during the financial year prior the end of the contract, this includes the cost of trainees and scholarships. Note that the expenses of this section shall not be repeated with other key performance indicators.</t>
  </si>
  <si>
    <t>2. Planned expenses on the development of suppliers (who have a Saudi commercial registration number or license number in KSA) during the financial year prior the end of the contract, through training and contribution to enhance suppliers' capabilities. Note that the expenses of this section shall not be repeated with other key performance indicators.</t>
  </si>
  <si>
    <t>3. Planned expenses on research and development activities in KSA during the financial year prior the end of the contract. Note that the expenses of this section shall not be repeated with other key performance indicators.</t>
  </si>
  <si>
    <t>6.1 Planned Depreciation and Amortization of Assets during the Financial Year Prior the End of the Contract</t>
  </si>
  <si>
    <t>Total depreciation and amortization during the financial year prior the end of the contract (SAR)</t>
  </si>
  <si>
    <t>6.2 Depreciation and Amortization by Asset class during the Financial Year Prior the End of the Contract</t>
  </si>
  <si>
    <t>Asset class</t>
  </si>
  <si>
    <t>Examples of Assets class</t>
  </si>
  <si>
    <t>Manufactured in KSA - Furniture and Fixtures</t>
  </si>
  <si>
    <t>Manufactured in KSA - Machinery and Equipment</t>
  </si>
  <si>
    <t>Manufactured in KSA - Vehicles</t>
  </si>
  <si>
    <t>1. All depreciation related to this category is considered 100% local content as long as they are located in KSA.</t>
  </si>
  <si>
    <t>ISIC Code</t>
  </si>
  <si>
    <t>The procurement of labor force services.</t>
  </si>
  <si>
    <t>The procurement of manufacturing of computer&amp; electronic components, communication equipment (agents/resellers are not considered)</t>
  </si>
  <si>
    <t>The procurement of Services produced by government bodies (General public administration activities, Foreign affairs, Defense activities, etc.)</t>
  </si>
  <si>
    <t>Template Code</t>
  </si>
  <si>
    <t>Version Number</t>
  </si>
  <si>
    <t>V.1</t>
  </si>
  <si>
    <t>OM-LRF-10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</si>
</sst>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SAR]\ * #,##0_);_([$SAR]\ * \(#,##0\);_([$SAR]\ * &quot;-&quot;??_);_(@_)"/>
    <numFmt numFmtId="165" formatCode="0.0%_);\(0.0%\)"/>
    <numFmt numFmtId="166" formatCode="#,##0.0_);\(#,##0.0\);0.0_);@_)"/>
    <numFmt numFmtId="167" formatCode="[$-409]mmmm\ d\,\ yyyy;@"/>
    <numFmt numFmtId="168" formatCode="[$SAR]\ #,##0.00"/>
    <numFmt numFmtId="169" formatCode="_([$SAR]\ * #,##0.00_);_([$SAR]\ * \(#,##0.00\);_([$SAR]\ * &quot;-&quot;??_);_(@_)"/>
  </numFmts>
  <fonts count="28" x14ac:knownFonts="1">
    <font>
      <sz val="11"/>
      <color theme="1"/>
      <name val="Calibri"/>
      <family val="2"/>
      <scheme val="minor"/>
    </font>
    <font>
      <sz val="11"/>
      <color theme="1"/>
      <name val="Calibri"/>
      <family val="2"/>
      <scheme val="minor"/>
    </font>
    <font>
      <b/>
      <sz val="11"/>
      <color theme="0"/>
      <name val="Calibri"/>
      <family val="2"/>
      <scheme val="minor"/>
    </font>
    <font>
      <sz val="10"/>
      <color rgb="FF0000FF"/>
      <name val="Arial"/>
      <family val="2"/>
    </font>
    <font>
      <b/>
      <sz val="11"/>
      <color theme="1"/>
      <name val="Calibri"/>
      <family val="2"/>
      <scheme val="minor"/>
    </font>
    <font>
      <i/>
      <sz val="11"/>
      <color theme="1"/>
      <name val="Calibri"/>
      <family val="2"/>
      <scheme val="minor"/>
    </font>
    <font>
      <sz val="11"/>
      <name val="Calibri"/>
      <family val="2"/>
      <scheme val="minor"/>
    </font>
    <font>
      <b/>
      <sz val="22"/>
      <color theme="1"/>
      <name val="Calibri"/>
      <family val="2"/>
      <scheme val="minor"/>
    </font>
    <font>
      <b/>
      <sz val="16"/>
      <color theme="0"/>
      <name val="Calibri"/>
      <family val="2"/>
      <scheme val="minor"/>
    </font>
    <font>
      <sz val="12"/>
      <color theme="1"/>
      <name val="Calibri"/>
      <family val="2"/>
      <scheme val="minor"/>
    </font>
    <font>
      <u/>
      <sz val="11"/>
      <color theme="10"/>
      <name val="Calibri"/>
      <family val="2"/>
      <scheme val="minor"/>
    </font>
    <font>
      <sz val="28"/>
      <color theme="1"/>
      <name val="Calibri"/>
      <family val="2"/>
      <scheme val="minor"/>
    </font>
    <font>
      <sz val="8"/>
      <color theme="1"/>
      <name val="Calibri"/>
      <family val="2"/>
      <scheme val="minor"/>
    </font>
    <font>
      <sz val="11"/>
      <color theme="0"/>
      <name val="Calibri"/>
      <family val="2"/>
      <scheme val="minor"/>
    </font>
    <font>
      <b/>
      <vertAlign val="superscript"/>
      <sz val="11"/>
      <color theme="0"/>
      <name val="Calibri"/>
      <family val="2"/>
      <scheme val="minor"/>
    </font>
    <font>
      <b/>
      <vertAlign val="superscript"/>
      <sz val="11"/>
      <color theme="0"/>
      <name val="Calibri"/>
      <family val="2"/>
    </font>
    <font>
      <b/>
      <sz val="16"/>
      <color theme="1"/>
      <name val="Calibri"/>
      <family val="2"/>
      <scheme val="minor"/>
    </font>
    <font>
      <b/>
      <sz val="20"/>
      <color theme="1"/>
      <name val="Calibri"/>
      <family val="2"/>
      <scheme val="minor"/>
    </font>
    <font>
      <b/>
      <sz val="17"/>
      <color theme="1"/>
      <name val="Calibri"/>
      <family val="2"/>
      <scheme val="minor"/>
    </font>
    <font>
      <b/>
      <sz val="12"/>
      <color theme="0"/>
      <name val="Calibri"/>
      <family val="2"/>
      <scheme val="minor"/>
    </font>
    <font>
      <sz val="10"/>
      <color theme="0"/>
      <name val="Calibri"/>
      <family val="2"/>
      <scheme val="minor"/>
    </font>
    <font>
      <sz val="10"/>
      <name val="Calibri"/>
      <family val="2"/>
      <scheme val="minor"/>
    </font>
    <font>
      <sz val="10"/>
      <color theme="1"/>
      <name val="Calibri"/>
      <family val="2"/>
      <scheme val="minor"/>
    </font>
    <font>
      <sz val="10"/>
      <color rgb="FF00AEEF"/>
      <name val="Calibri"/>
      <family val="2"/>
      <scheme val="minor"/>
    </font>
    <font>
      <vertAlign val="superscript"/>
      <sz val="11"/>
      <color theme="1"/>
      <name val="Calibri"/>
      <family val="2"/>
      <scheme val="minor"/>
    </font>
    <font>
      <b/>
      <vertAlign val="superscript"/>
      <sz val="16"/>
      <color indexed="9"/>
      <name val="Calibri"/>
      <family val="2"/>
      <scheme val="minor"/>
    </font>
    <font>
      <sz val="11"/>
      <color theme="1"/>
      <name val="Calibri"/>
      <family val="2"/>
      <charset val="178"/>
      <scheme val="minor"/>
    </font>
    <font>
      <sz val="10"/>
      <color theme="1" tint="0.499984740745262"/>
      <name val="Calibri"/>
      <family val="2"/>
      <scheme val="minor"/>
    </font>
  </fonts>
  <fills count="10">
    <fill>
      <patternFill patternType="none"/>
    </fill>
    <fill>
      <patternFill patternType="gray125"/>
    </fill>
    <fill>
      <patternFill patternType="solid">
        <fgColor rgb="FFFFFF66"/>
        <bgColor indexed="64"/>
      </patternFill>
    </fill>
    <fill>
      <patternFill patternType="solid">
        <fgColor theme="0" tint="-0.499984740745262"/>
        <bgColor indexed="64"/>
      </patternFill>
    </fill>
    <fill>
      <patternFill patternType="solid">
        <fgColor theme="0"/>
        <bgColor indexed="64"/>
      </patternFill>
    </fill>
    <fill>
      <patternFill patternType="solid">
        <fgColor rgb="FF938A87"/>
        <bgColor indexed="64"/>
      </patternFill>
    </fill>
    <fill>
      <patternFill patternType="solid">
        <fgColor theme="2"/>
        <bgColor indexed="64"/>
      </patternFill>
    </fill>
    <fill>
      <patternFill patternType="solid">
        <fgColor rgb="FFC5AA9D"/>
        <bgColor indexed="64"/>
      </patternFill>
    </fill>
    <fill>
      <patternFill patternType="solid">
        <fgColor theme="6" tint="0.59999389629810485"/>
        <bgColor indexed="64"/>
      </patternFill>
    </fill>
    <fill>
      <patternFill patternType="solid">
        <fgColor theme="6" tint="0.799981688894314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dotted">
        <color indexed="64"/>
      </left>
      <right style="dotted">
        <color indexed="64"/>
      </right>
      <top style="dotted">
        <color indexed="64"/>
      </top>
      <bottom style="dotted">
        <color indexed="64"/>
      </bottom>
      <diagonal/>
    </border>
    <border>
      <left/>
      <right/>
      <top/>
      <bottom style="dotted">
        <color indexed="64"/>
      </bottom>
      <diagonal/>
    </border>
    <border>
      <left/>
      <right style="dotted">
        <color indexed="64"/>
      </right>
      <top/>
      <bottom style="dotted">
        <color indexed="64"/>
      </bottom>
      <diagonal/>
    </border>
    <border>
      <left style="dotted">
        <color indexed="64"/>
      </left>
      <right/>
      <top/>
      <bottom style="dotted">
        <color indexed="64"/>
      </bottom>
      <diagonal/>
    </border>
    <border>
      <left style="dotted">
        <color indexed="64"/>
      </left>
      <right/>
      <top/>
      <bottom/>
      <diagonal/>
    </border>
    <border>
      <left/>
      <right style="dotted">
        <color indexed="64"/>
      </right>
      <top/>
      <bottom/>
      <diagonal/>
    </border>
    <border>
      <left style="medium">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top style="dotted">
        <color indexed="64"/>
      </top>
      <bottom style="dotted">
        <color indexed="64"/>
      </bottom>
      <diagonal/>
    </border>
    <border>
      <left style="dotted">
        <color indexed="64"/>
      </left>
      <right style="dotted">
        <color indexed="64"/>
      </right>
      <top style="dotted">
        <color indexed="64"/>
      </top>
      <bottom/>
      <diagonal/>
    </border>
    <border>
      <left/>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dotted">
        <color indexed="64"/>
      </left>
      <right style="medium">
        <color indexed="64"/>
      </right>
      <top style="dotted">
        <color indexed="64"/>
      </top>
      <bottom style="dotted">
        <color indexed="64"/>
      </bottom>
      <diagonal/>
    </border>
    <border>
      <left style="dotted">
        <color indexed="64"/>
      </left>
      <right/>
      <top style="dotted">
        <color indexed="64"/>
      </top>
      <bottom style="medium">
        <color indexed="64"/>
      </bottom>
      <diagonal/>
    </border>
    <border>
      <left/>
      <right/>
      <top style="dotted">
        <color indexed="64"/>
      </top>
      <bottom style="medium">
        <color indexed="64"/>
      </bottom>
      <diagonal/>
    </border>
    <border>
      <left/>
      <right style="dotted">
        <color indexed="64"/>
      </right>
      <top style="dotted">
        <color indexed="64"/>
      </top>
      <bottom style="medium">
        <color indexed="64"/>
      </bottom>
      <diagonal/>
    </border>
    <border>
      <left style="dotted">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style="dotted">
        <color indexed="64"/>
      </left>
      <right/>
      <top style="medium">
        <color indexed="64"/>
      </top>
      <bottom style="dotted">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5">
    <xf numFmtId="0" fontId="0" fillId="0" borderId="0"/>
    <xf numFmtId="165" fontId="3" fillId="2" borderId="1" applyNumberFormat="0" applyFill="0" applyBorder="0" applyAlignment="0" applyProtection="0"/>
    <xf numFmtId="9" fontId="1" fillId="0" borderId="0" applyFont="0" applyFill="0" applyBorder="0" applyAlignment="0" applyProtection="0"/>
    <xf numFmtId="0" fontId="10" fillId="0" borderId="0" applyNumberFormat="0" applyFill="0" applyBorder="0" applyAlignment="0" applyProtection="0"/>
    <xf numFmtId="0" fontId="26" fillId="0" borderId="0"/>
  </cellStyleXfs>
  <cellXfs count="182">
    <xf numFmtId="0" fontId="0" fillId="0" borderId="0" xfId="0"/>
    <xf numFmtId="0" fontId="0" fillId="0" borderId="0" xfId="0" applyAlignment="1">
      <alignment vertical="center"/>
    </xf>
    <xf numFmtId="0" fontId="5" fillId="0" borderId="0" xfId="0" applyFont="1"/>
    <xf numFmtId="164" fontId="0" fillId="0" borderId="0" xfId="0" applyNumberFormat="1"/>
    <xf numFmtId="0" fontId="4" fillId="0" borderId="0" xfId="0" applyFont="1" applyAlignment="1">
      <alignment vertical="center"/>
    </xf>
    <xf numFmtId="0" fontId="7" fillId="0" borderId="0" xfId="0" applyFont="1"/>
    <xf numFmtId="9" fontId="0" fillId="0" borderId="0" xfId="0" applyNumberFormat="1"/>
    <xf numFmtId="0" fontId="0" fillId="0" borderId="0" xfId="0" quotePrefix="1" applyAlignment="1">
      <alignment horizontal="right" vertical="center"/>
    </xf>
    <xf numFmtId="0" fontId="0" fillId="0" borderId="0" xfId="0" applyAlignment="1">
      <alignment horizontal="center"/>
    </xf>
    <xf numFmtId="0" fontId="4" fillId="0" borderId="0" xfId="0" applyFont="1"/>
    <xf numFmtId="9" fontId="1" fillId="0" borderId="0" xfId="2" applyFont="1" applyProtection="1"/>
    <xf numFmtId="0" fontId="7" fillId="0" borderId="0" xfId="0" applyFont="1" applyAlignment="1">
      <alignment vertical="center"/>
    </xf>
    <xf numFmtId="0" fontId="7" fillId="0" borderId="0" xfId="0" applyFont="1" applyAlignment="1">
      <alignment horizontal="left" vertical="center"/>
    </xf>
    <xf numFmtId="0" fontId="0" fillId="0" borderId="2" xfId="0" applyBorder="1" applyProtection="1">
      <protection locked="0"/>
    </xf>
    <xf numFmtId="9" fontId="0" fillId="0" borderId="2" xfId="0" applyNumberFormat="1" applyBorder="1" applyAlignment="1" applyProtection="1">
      <alignment horizontal="center"/>
      <protection locked="0"/>
    </xf>
    <xf numFmtId="164" fontId="0" fillId="0" borderId="2" xfId="0" applyNumberFormat="1" applyBorder="1" applyAlignment="1" applyProtection="1">
      <alignment horizontal="left" vertical="center"/>
      <protection locked="0"/>
    </xf>
    <xf numFmtId="0" fontId="0" fillId="0" borderId="0" xfId="0" applyAlignment="1" applyProtection="1">
      <alignment horizontal="left" vertical="top"/>
      <protection locked="0"/>
    </xf>
    <xf numFmtId="169" fontId="0" fillId="0" borderId="2" xfId="0" applyNumberFormat="1" applyBorder="1" applyAlignment="1" applyProtection="1">
      <alignment vertical="center"/>
      <protection locked="0"/>
    </xf>
    <xf numFmtId="169" fontId="0" fillId="0" borderId="2" xfId="0" applyNumberFormat="1" applyBorder="1" applyProtection="1">
      <protection locked="0"/>
    </xf>
    <xf numFmtId="0" fontId="11" fillId="0" borderId="0" xfId="0" applyFont="1"/>
    <xf numFmtId="168" fontId="0" fillId="0" borderId="2" xfId="0" applyNumberFormat="1" applyBorder="1" applyAlignment="1" applyProtection="1">
      <alignment horizontal="left" vertical="center"/>
      <protection locked="0"/>
    </xf>
    <xf numFmtId="0" fontId="10" fillId="0" borderId="0" xfId="3"/>
    <xf numFmtId="1" fontId="0" fillId="0" borderId="0" xfId="0" applyNumberFormat="1" applyAlignment="1">
      <alignment horizontal="left"/>
    </xf>
    <xf numFmtId="0" fontId="19" fillId="5" borderId="0" xfId="0" applyFont="1" applyFill="1" applyAlignment="1">
      <alignment vertical="center"/>
    </xf>
    <xf numFmtId="0" fontId="13" fillId="5" borderId="0" xfId="0" applyFont="1" applyFill="1" applyAlignment="1">
      <alignment vertical="center"/>
    </xf>
    <xf numFmtId="0" fontId="2" fillId="7" borderId="2" xfId="0" applyFont="1" applyFill="1" applyBorder="1" applyAlignment="1">
      <alignment vertical="center"/>
    </xf>
    <xf numFmtId="0" fontId="2" fillId="7" borderId="2" xfId="0" applyFont="1" applyFill="1" applyBorder="1" applyAlignment="1">
      <alignment vertical="center" wrapText="1"/>
    </xf>
    <xf numFmtId="0" fontId="2" fillId="7" borderId="11" xfId="0" applyFont="1" applyFill="1" applyBorder="1" applyAlignment="1">
      <alignment vertical="center"/>
    </xf>
    <xf numFmtId="0" fontId="2" fillId="7" borderId="11" xfId="0" applyFont="1" applyFill="1" applyBorder="1" applyAlignment="1">
      <alignment horizontal="left" vertical="center"/>
    </xf>
    <xf numFmtId="0" fontId="13" fillId="7" borderId="2" xfId="0" applyFont="1" applyFill="1" applyBorder="1" applyAlignment="1">
      <alignment vertical="center"/>
    </xf>
    <xf numFmtId="0" fontId="2" fillId="7" borderId="8" xfId="0" applyFont="1" applyFill="1" applyBorder="1" applyAlignment="1">
      <alignment vertical="center"/>
    </xf>
    <xf numFmtId="0" fontId="2" fillId="7" borderId="9" xfId="0" applyFont="1" applyFill="1" applyBorder="1" applyAlignment="1">
      <alignment vertical="center"/>
    </xf>
    <xf numFmtId="0" fontId="2" fillId="7" borderId="10" xfId="0" applyFont="1" applyFill="1" applyBorder="1" applyAlignment="1">
      <alignment vertical="center"/>
    </xf>
    <xf numFmtId="0" fontId="8" fillId="5" borderId="0" xfId="0" applyFont="1" applyFill="1" applyAlignment="1">
      <alignment vertical="center"/>
    </xf>
    <xf numFmtId="0" fontId="2" fillId="5" borderId="0" xfId="0" quotePrefix="1" applyFont="1" applyFill="1" applyAlignment="1">
      <alignment vertical="center"/>
    </xf>
    <xf numFmtId="0" fontId="2" fillId="7" borderId="2" xfId="0" applyFont="1" applyFill="1" applyBorder="1" applyAlignment="1">
      <alignment horizontal="left" vertical="center" wrapText="1"/>
    </xf>
    <xf numFmtId="0" fontId="2" fillId="7" borderId="2" xfId="0" applyFont="1" applyFill="1" applyBorder="1" applyAlignment="1">
      <alignment horizontal="center" vertical="center" wrapText="1"/>
    </xf>
    <xf numFmtId="164" fontId="4" fillId="6" borderId="2" xfId="0" applyNumberFormat="1" applyFont="1" applyFill="1" applyBorder="1" applyAlignment="1">
      <alignment horizontal="center" vertical="center"/>
    </xf>
    <xf numFmtId="9" fontId="4" fillId="6" borderId="2" xfId="2" applyFont="1" applyFill="1" applyBorder="1" applyAlignment="1" applyProtection="1">
      <alignment horizontal="center" vertical="center"/>
    </xf>
    <xf numFmtId="169" fontId="4" fillId="6" borderId="2" xfId="0" applyNumberFormat="1" applyFont="1" applyFill="1" applyBorder="1" applyAlignment="1">
      <alignment vertical="center"/>
    </xf>
    <xf numFmtId="164" fontId="0" fillId="6" borderId="2" xfId="0" applyNumberFormat="1" applyFill="1" applyBorder="1" applyAlignment="1">
      <alignment horizontal="left" vertical="center"/>
    </xf>
    <xf numFmtId="9" fontId="1" fillId="6" borderId="2" xfId="2" applyFont="1" applyFill="1" applyBorder="1" applyAlignment="1" applyProtection="1">
      <alignment horizontal="center"/>
    </xf>
    <xf numFmtId="169" fontId="0" fillId="6" borderId="2" xfId="0" applyNumberFormat="1" applyFill="1" applyBorder="1"/>
    <xf numFmtId="9" fontId="4" fillId="6" borderId="2" xfId="2" applyFont="1" applyFill="1" applyBorder="1" applyAlignment="1" applyProtection="1">
      <alignment horizontal="center"/>
    </xf>
    <xf numFmtId="169" fontId="4" fillId="6" borderId="2" xfId="0" applyNumberFormat="1" applyFont="1" applyFill="1" applyBorder="1"/>
    <xf numFmtId="0" fontId="0" fillId="6" borderId="2" xfId="0" applyFill="1" applyBorder="1" applyAlignment="1">
      <alignment horizontal="left" vertical="center"/>
    </xf>
    <xf numFmtId="49" fontId="0" fillId="6" borderId="2" xfId="0" applyNumberFormat="1" applyFill="1" applyBorder="1" applyAlignment="1">
      <alignment horizontal="left" vertical="center"/>
    </xf>
    <xf numFmtId="167" fontId="0" fillId="6" borderId="2" xfId="0" applyNumberFormat="1" applyFill="1" applyBorder="1" applyAlignment="1">
      <alignment horizontal="left" vertical="center"/>
    </xf>
    <xf numFmtId="0" fontId="8" fillId="5" borderId="0" xfId="0" quotePrefix="1" applyFont="1" applyFill="1" applyAlignment="1">
      <alignment vertical="center"/>
    </xf>
    <xf numFmtId="0" fontId="2" fillId="7" borderId="11" xfId="0" applyFont="1" applyFill="1" applyBorder="1" applyAlignment="1">
      <alignment horizontal="center" vertical="center" wrapText="1"/>
    </xf>
    <xf numFmtId="0" fontId="2" fillId="7" borderId="13" xfId="0" applyFont="1" applyFill="1" applyBorder="1" applyAlignment="1">
      <alignment horizontal="center" vertical="center" wrapText="1"/>
    </xf>
    <xf numFmtId="164" fontId="0" fillId="6" borderId="12" xfId="0" applyNumberFormat="1" applyFill="1" applyBorder="1" applyAlignment="1">
      <alignment horizontal="left" vertical="center"/>
    </xf>
    <xf numFmtId="164" fontId="0" fillId="6" borderId="2" xfId="0" applyNumberFormat="1" applyFill="1" applyBorder="1" applyAlignment="1">
      <alignment vertical="center"/>
    </xf>
    <xf numFmtId="9" fontId="0" fillId="6" borderId="2" xfId="0" applyNumberFormat="1" applyFill="1" applyBorder="1" applyAlignment="1">
      <alignment horizontal="center"/>
    </xf>
    <xf numFmtId="169" fontId="0" fillId="6" borderId="2" xfId="0" applyNumberFormat="1" applyFill="1" applyBorder="1" applyAlignment="1">
      <alignment horizontal="left" vertical="center"/>
    </xf>
    <xf numFmtId="0" fontId="0" fillId="6" borderId="2" xfId="0" applyFill="1" applyBorder="1" applyAlignment="1">
      <alignment horizontal="center"/>
    </xf>
    <xf numFmtId="169" fontId="4" fillId="6" borderId="2" xfId="0" applyNumberFormat="1" applyFont="1" applyFill="1" applyBorder="1" applyAlignment="1">
      <alignment horizontal="left" vertical="center"/>
    </xf>
    <xf numFmtId="0" fontId="8" fillId="5" borderId="0" xfId="0" applyFont="1" applyFill="1"/>
    <xf numFmtId="0" fontId="8" fillId="5" borderId="0" xfId="0" applyFont="1" applyFill="1" applyAlignment="1">
      <alignment wrapText="1"/>
    </xf>
    <xf numFmtId="1" fontId="8" fillId="5" borderId="0" xfId="0" applyNumberFormat="1" applyFont="1" applyFill="1" applyAlignment="1">
      <alignment horizontal="left" wrapText="1"/>
    </xf>
    <xf numFmtId="0" fontId="2" fillId="5" borderId="0" xfId="0" quotePrefix="1" applyFont="1" applyFill="1" applyAlignment="1">
      <alignment horizontal="left" vertical="center"/>
    </xf>
    <xf numFmtId="0" fontId="8" fillId="5" borderId="0" xfId="0" applyFont="1" applyFill="1" applyAlignment="1">
      <alignment horizontal="left"/>
    </xf>
    <xf numFmtId="0" fontId="8" fillId="5" borderId="0" xfId="0" applyFont="1" applyFill="1" applyAlignment="1">
      <alignment horizontal="left" wrapText="1"/>
    </xf>
    <xf numFmtId="0" fontId="2" fillId="7" borderId="11" xfId="0" applyFont="1" applyFill="1" applyBorder="1" applyAlignment="1">
      <alignment horizontal="center" vertical="center"/>
    </xf>
    <xf numFmtId="1" fontId="2" fillId="7" borderId="11" xfId="0" applyNumberFormat="1" applyFont="1" applyFill="1" applyBorder="1" applyAlignment="1">
      <alignment horizontal="center" vertical="center"/>
    </xf>
    <xf numFmtId="0" fontId="4" fillId="6" borderId="2" xfId="0" applyFont="1" applyFill="1" applyBorder="1"/>
    <xf numFmtId="9" fontId="0" fillId="6" borderId="2" xfId="2" applyFont="1" applyFill="1" applyBorder="1" applyAlignment="1" applyProtection="1">
      <alignment wrapText="1"/>
    </xf>
    <xf numFmtId="1" fontId="12" fillId="6" borderId="2" xfId="2" applyNumberFormat="1" applyFont="1" applyFill="1" applyBorder="1" applyAlignment="1" applyProtection="1">
      <alignment horizontal="left" wrapText="1"/>
    </xf>
    <xf numFmtId="0" fontId="4" fillId="6" borderId="2" xfId="0" quotePrefix="1" applyFont="1" applyFill="1" applyBorder="1"/>
    <xf numFmtId="9" fontId="1" fillId="6" borderId="2" xfId="2" applyFont="1" applyFill="1" applyBorder="1" applyAlignment="1" applyProtection="1">
      <alignment wrapText="1"/>
    </xf>
    <xf numFmtId="0" fontId="4" fillId="6" borderId="2" xfId="0" applyFont="1" applyFill="1" applyBorder="1" applyAlignment="1">
      <alignment vertical="center"/>
    </xf>
    <xf numFmtId="9" fontId="0" fillId="6" borderId="2" xfId="2" applyFont="1" applyFill="1" applyBorder="1" applyAlignment="1" applyProtection="1">
      <alignment vertical="top" wrapText="1"/>
    </xf>
    <xf numFmtId="9" fontId="1" fillId="6" borderId="11" xfId="2" applyFont="1" applyFill="1" applyBorder="1" applyAlignment="1" applyProtection="1">
      <alignment wrapText="1"/>
    </xf>
    <xf numFmtId="9" fontId="0" fillId="6" borderId="11" xfId="2" applyFont="1" applyFill="1" applyBorder="1" applyAlignment="1" applyProtection="1">
      <alignment wrapText="1"/>
    </xf>
    <xf numFmtId="169" fontId="0" fillId="0" borderId="0" xfId="0" applyNumberFormat="1" applyProtection="1">
      <protection locked="0"/>
    </xf>
    <xf numFmtId="0" fontId="8" fillId="0" borderId="0" xfId="0" applyFont="1" applyAlignment="1">
      <alignment vertical="center"/>
    </xf>
    <xf numFmtId="164" fontId="0" fillId="0" borderId="0" xfId="0" applyNumberFormat="1" applyAlignment="1">
      <alignment horizontal="left" vertical="center"/>
    </xf>
    <xf numFmtId="164" fontId="0" fillId="0" borderId="2" xfId="0" applyNumberFormat="1" applyBorder="1" applyProtection="1">
      <protection locked="0"/>
    </xf>
    <xf numFmtId="10" fontId="4" fillId="8" borderId="11" xfId="2" applyNumberFormat="1" applyFont="1" applyFill="1" applyBorder="1" applyAlignment="1" applyProtection="1">
      <alignment horizontal="center" vertical="center"/>
    </xf>
    <xf numFmtId="0" fontId="0" fillId="9" borderId="11" xfId="0" applyFill="1" applyBorder="1" applyAlignment="1">
      <alignment horizontal="left" vertical="center" readingOrder="2"/>
    </xf>
    <xf numFmtId="9" fontId="1" fillId="6" borderId="2" xfId="2" applyFont="1" applyFill="1" applyBorder="1" applyAlignment="1" applyProtection="1">
      <alignment horizontal="center" vertical="center"/>
    </xf>
    <xf numFmtId="10" fontId="4" fillId="6" borderId="2" xfId="2" applyNumberFormat="1" applyFont="1" applyFill="1" applyBorder="1" applyAlignment="1" applyProtection="1">
      <alignment horizontal="center" vertical="center"/>
    </xf>
    <xf numFmtId="0" fontId="20" fillId="5" borderId="0" xfId="0" applyFont="1" applyFill="1" applyAlignment="1">
      <alignment vertical="center"/>
    </xf>
    <xf numFmtId="0" fontId="0" fillId="0" borderId="6" xfId="0" applyBorder="1" applyAlignment="1">
      <alignment vertical="center"/>
    </xf>
    <xf numFmtId="0" fontId="0" fillId="0" borderId="7" xfId="0" applyBorder="1" applyAlignment="1">
      <alignment vertical="center"/>
    </xf>
    <xf numFmtId="166" fontId="13" fillId="5" borderId="2" xfId="1" applyNumberFormat="1" applyFont="1" applyFill="1" applyBorder="1" applyAlignment="1" applyProtection="1">
      <alignment horizontal="center" vertical="center"/>
    </xf>
    <xf numFmtId="0" fontId="6" fillId="0" borderId="0" xfId="0" applyFont="1" applyAlignment="1">
      <alignment horizontal="left" vertical="center"/>
    </xf>
    <xf numFmtId="166" fontId="13" fillId="7" borderId="2" xfId="1" applyNumberFormat="1" applyFont="1" applyFill="1" applyBorder="1" applyAlignment="1" applyProtection="1">
      <alignment horizontal="center" vertical="center"/>
    </xf>
    <xf numFmtId="166" fontId="6" fillId="6" borderId="2" xfId="1" applyNumberFormat="1" applyFont="1" applyFill="1" applyBorder="1" applyAlignment="1" applyProtection="1">
      <alignment horizontal="center" vertical="center"/>
    </xf>
    <xf numFmtId="166" fontId="6" fillId="0" borderId="2" xfId="1" applyNumberFormat="1" applyFont="1" applyFill="1" applyBorder="1" applyAlignment="1" applyProtection="1">
      <alignment horizontal="center" vertical="center"/>
    </xf>
    <xf numFmtId="0" fontId="0" fillId="0" borderId="0" xfId="0" applyAlignment="1">
      <alignment horizontal="left" vertical="center"/>
    </xf>
    <xf numFmtId="166" fontId="6" fillId="3" borderId="2" xfId="1" applyNumberFormat="1" applyFont="1" applyFill="1" applyBorder="1" applyAlignment="1" applyProtection="1">
      <alignment horizontal="center" vertical="center"/>
    </xf>
    <xf numFmtId="0" fontId="0" fillId="0" borderId="5" xfId="0" applyBorder="1" applyAlignment="1">
      <alignment vertical="center"/>
    </xf>
    <xf numFmtId="166" fontId="21" fillId="0" borderId="3" xfId="1" applyNumberFormat="1" applyFont="1" applyFill="1" applyBorder="1" applyAlignment="1" applyProtection="1">
      <alignment horizontal="center" vertical="center"/>
    </xf>
    <xf numFmtId="0" fontId="22" fillId="0" borderId="3" xfId="0" applyFont="1" applyBorder="1" applyAlignment="1">
      <alignment horizontal="left" vertical="center"/>
    </xf>
    <xf numFmtId="0" fontId="23" fillId="0" borderId="3" xfId="0" applyFont="1" applyBorder="1" applyAlignment="1">
      <alignment horizontal="left" vertical="center"/>
    </xf>
    <xf numFmtId="0" fontId="0" fillId="0" borderId="4" xfId="0" applyBorder="1" applyAlignment="1">
      <alignment vertical="center"/>
    </xf>
    <xf numFmtId="0" fontId="22" fillId="0" borderId="0" xfId="0" applyFont="1" applyAlignment="1">
      <alignment vertical="center"/>
    </xf>
    <xf numFmtId="0" fontId="6" fillId="0" borderId="0" xfId="0" applyFont="1" applyAlignment="1">
      <alignment vertical="center"/>
    </xf>
    <xf numFmtId="167" fontId="0" fillId="0" borderId="0" xfId="0" applyNumberFormat="1" applyAlignment="1" applyProtection="1">
      <alignment horizontal="left" vertical="center"/>
      <protection locked="0"/>
    </xf>
    <xf numFmtId="0" fontId="0" fillId="0" borderId="0" xfId="0" applyAlignment="1" applyProtection="1">
      <alignment horizontal="left" vertical="center"/>
      <protection locked="0"/>
    </xf>
    <xf numFmtId="0" fontId="27" fillId="0" borderId="27" xfId="4" applyFont="1" applyBorder="1" applyAlignment="1">
      <alignment horizontal="center" vertical="center" wrapText="1" readingOrder="2"/>
    </xf>
    <xf numFmtId="0" fontId="10" fillId="6" borderId="11" xfId="3" applyFill="1" applyBorder="1" applyAlignment="1" applyProtection="1">
      <alignment vertical="center"/>
    </xf>
    <xf numFmtId="0" fontId="10" fillId="6" borderId="13" xfId="3" applyFill="1" applyBorder="1" applyAlignment="1" applyProtection="1">
      <alignment vertical="center"/>
    </xf>
    <xf numFmtId="0" fontId="6" fillId="6" borderId="13" xfId="0" applyFont="1" applyFill="1" applyBorder="1" applyAlignment="1">
      <alignment vertical="center"/>
    </xf>
    <xf numFmtId="0" fontId="6" fillId="6" borderId="14" xfId="0" applyFont="1" applyFill="1" applyBorder="1" applyAlignment="1">
      <alignment vertical="center"/>
    </xf>
    <xf numFmtId="0" fontId="10" fillId="6" borderId="5" xfId="3" applyFill="1" applyBorder="1" applyAlignment="1" applyProtection="1">
      <alignment vertical="center"/>
    </xf>
    <xf numFmtId="0" fontId="10" fillId="6" borderId="3" xfId="3" applyFill="1" applyBorder="1" applyAlignment="1" applyProtection="1">
      <alignment vertical="center"/>
    </xf>
    <xf numFmtId="0" fontId="6" fillId="6" borderId="21" xfId="0" applyFont="1" applyFill="1" applyBorder="1" applyAlignment="1">
      <alignment horizontal="center" vertical="center" wrapText="1"/>
    </xf>
    <xf numFmtId="0" fontId="6" fillId="6" borderId="22" xfId="0" applyFont="1" applyFill="1" applyBorder="1" applyAlignment="1">
      <alignment horizontal="center" vertical="center" wrapText="1"/>
    </xf>
    <xf numFmtId="0" fontId="6" fillId="6" borderId="23" xfId="0" applyFont="1" applyFill="1" applyBorder="1" applyAlignment="1">
      <alignment horizontal="center" vertical="center" wrapText="1"/>
    </xf>
    <xf numFmtId="0" fontId="6" fillId="6" borderId="6" xfId="0" applyFont="1" applyFill="1" applyBorder="1" applyAlignment="1">
      <alignment horizontal="center" vertical="center" wrapText="1"/>
    </xf>
    <xf numFmtId="0" fontId="6" fillId="6" borderId="0" xfId="0" applyFont="1" applyFill="1" applyAlignment="1">
      <alignment horizontal="center" vertical="center" wrapText="1"/>
    </xf>
    <xf numFmtId="0" fontId="6" fillId="6" borderId="7" xfId="0" applyFont="1" applyFill="1" applyBorder="1" applyAlignment="1">
      <alignment horizontal="center" vertical="center" wrapText="1"/>
    </xf>
    <xf numFmtId="0" fontId="6" fillId="6" borderId="5" xfId="0" applyFont="1" applyFill="1" applyBorder="1" applyAlignment="1">
      <alignment horizontal="center" vertical="center" wrapText="1"/>
    </xf>
    <xf numFmtId="0" fontId="6" fillId="6" borderId="3"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0" fillId="0" borderId="0" xfId="0" applyAlignment="1">
      <alignment horizontal="center" vertical="center"/>
    </xf>
    <xf numFmtId="0" fontId="6" fillId="6" borderId="3" xfId="0" applyFont="1" applyFill="1" applyBorder="1" applyAlignment="1">
      <alignment vertical="center"/>
    </xf>
    <xf numFmtId="0" fontId="6" fillId="6" borderId="4" xfId="0" applyFont="1" applyFill="1" applyBorder="1" applyAlignment="1">
      <alignment vertical="center"/>
    </xf>
    <xf numFmtId="0" fontId="9" fillId="0" borderId="0" xfId="0" applyFont="1" applyAlignment="1">
      <alignment horizontal="center" vertical="center"/>
    </xf>
    <xf numFmtId="0" fontId="16" fillId="0" borderId="0" xfId="0" applyFont="1" applyAlignment="1">
      <alignment horizontal="center" vertical="center" wrapText="1"/>
    </xf>
    <xf numFmtId="0" fontId="0" fillId="0" borderId="0" xfId="0" applyAlignment="1" applyProtection="1">
      <alignment horizontal="left" vertical="center"/>
      <protection locked="0"/>
    </xf>
    <xf numFmtId="0" fontId="0" fillId="4" borderId="11" xfId="0" applyFill="1" applyBorder="1" applyAlignment="1" applyProtection="1">
      <alignment horizontal="left" vertical="center"/>
      <protection locked="0"/>
    </xf>
    <xf numFmtId="0" fontId="0" fillId="4" borderId="14" xfId="0" applyFill="1" applyBorder="1" applyAlignment="1" applyProtection="1">
      <alignment horizontal="left" vertical="center"/>
      <protection locked="0"/>
    </xf>
    <xf numFmtId="0" fontId="0" fillId="4" borderId="11" xfId="0" applyFill="1" applyBorder="1" applyAlignment="1" applyProtection="1">
      <alignment horizontal="center" vertical="center"/>
      <protection locked="0"/>
    </xf>
    <xf numFmtId="0" fontId="0" fillId="4" borderId="14" xfId="0" applyFill="1" applyBorder="1" applyAlignment="1" applyProtection="1">
      <alignment horizontal="center" vertical="center"/>
      <protection locked="0"/>
    </xf>
    <xf numFmtId="0" fontId="8" fillId="5" borderId="0" xfId="0" quotePrefix="1" applyFont="1" applyFill="1" applyAlignment="1">
      <alignment horizontal="left" vertical="center"/>
    </xf>
    <xf numFmtId="167" fontId="0" fillId="4" borderId="11" xfId="0" applyNumberFormat="1" applyFill="1" applyBorder="1" applyAlignment="1" applyProtection="1">
      <alignment horizontal="left" vertical="center"/>
      <protection locked="0"/>
    </xf>
    <xf numFmtId="167" fontId="0" fillId="4" borderId="14" xfId="0" applyNumberFormat="1" applyFill="1" applyBorder="1" applyAlignment="1" applyProtection="1">
      <alignment horizontal="left" vertical="center"/>
      <protection locked="0"/>
    </xf>
    <xf numFmtId="167" fontId="0" fillId="4" borderId="5" xfId="0" applyNumberFormat="1" applyFill="1" applyBorder="1" applyAlignment="1" applyProtection="1">
      <alignment horizontal="left" vertical="center"/>
      <protection locked="0"/>
    </xf>
    <xf numFmtId="167" fontId="0" fillId="4" borderId="4" xfId="0" applyNumberFormat="1" applyFill="1" applyBorder="1" applyAlignment="1" applyProtection="1">
      <alignment horizontal="left" vertical="center"/>
      <protection locked="0"/>
    </xf>
    <xf numFmtId="49" fontId="0" fillId="4" borderId="5" xfId="0" applyNumberFormat="1" applyFill="1" applyBorder="1" applyAlignment="1" applyProtection="1">
      <alignment horizontal="left" vertical="center"/>
      <protection locked="0"/>
    </xf>
    <xf numFmtId="49" fontId="0" fillId="4" borderId="4" xfId="0" applyNumberFormat="1" applyFill="1" applyBorder="1" applyAlignment="1" applyProtection="1">
      <alignment horizontal="left" vertical="center"/>
      <protection locked="0"/>
    </xf>
    <xf numFmtId="0" fontId="0" fillId="6" borderId="11" xfId="0" applyFill="1" applyBorder="1" applyAlignment="1">
      <alignment horizontal="left"/>
    </xf>
    <xf numFmtId="0" fontId="0" fillId="6" borderId="13" xfId="0" applyFill="1" applyBorder="1" applyAlignment="1">
      <alignment horizontal="left"/>
    </xf>
    <xf numFmtId="0" fontId="0" fillId="6" borderId="14" xfId="0" applyFill="1" applyBorder="1" applyAlignment="1">
      <alignment horizontal="left"/>
    </xf>
    <xf numFmtId="167" fontId="0" fillId="6" borderId="11" xfId="0" applyNumberFormat="1" applyFill="1" applyBorder="1" applyAlignment="1">
      <alignment horizontal="left"/>
    </xf>
    <xf numFmtId="167" fontId="0" fillId="6" borderId="13" xfId="0" applyNumberFormat="1" applyFill="1" applyBorder="1" applyAlignment="1">
      <alignment horizontal="left"/>
    </xf>
    <xf numFmtId="167" fontId="0" fillId="6" borderId="14" xfId="0" applyNumberFormat="1" applyFill="1" applyBorder="1" applyAlignment="1">
      <alignment horizontal="left"/>
    </xf>
    <xf numFmtId="0" fontId="2" fillId="7" borderId="11" xfId="0" applyFont="1" applyFill="1" applyBorder="1" applyAlignment="1">
      <alignment horizontal="center" vertical="center"/>
    </xf>
    <xf numFmtId="0" fontId="2" fillId="7" borderId="13" xfId="0" applyFont="1" applyFill="1" applyBorder="1" applyAlignment="1">
      <alignment horizontal="center" vertical="center"/>
    </xf>
    <xf numFmtId="0" fontId="8" fillId="5" borderId="0" xfId="0" applyFont="1" applyFill="1" applyAlignment="1">
      <alignment horizontal="left" vertical="center"/>
    </xf>
    <xf numFmtId="164" fontId="0" fillId="6" borderId="11" xfId="0" applyNumberFormat="1" applyFill="1" applyBorder="1" applyAlignment="1">
      <alignment horizontal="left" vertical="center"/>
    </xf>
    <xf numFmtId="164" fontId="0" fillId="6" borderId="13" xfId="0" applyNumberFormat="1" applyFill="1" applyBorder="1" applyAlignment="1">
      <alignment horizontal="left" vertical="center"/>
    </xf>
    <xf numFmtId="164" fontId="0" fillId="6" borderId="14" xfId="0" applyNumberFormat="1" applyFill="1" applyBorder="1" applyAlignment="1">
      <alignment horizontal="left" vertical="center"/>
    </xf>
    <xf numFmtId="10" fontId="4" fillId="6" borderId="15" xfId="2" applyNumberFormat="1" applyFont="1" applyFill="1" applyBorder="1" applyAlignment="1" applyProtection="1">
      <alignment horizontal="center" vertical="center"/>
    </xf>
    <xf numFmtId="10" fontId="4" fillId="6" borderId="16" xfId="2" applyNumberFormat="1" applyFont="1" applyFill="1" applyBorder="1" applyAlignment="1" applyProtection="1">
      <alignment horizontal="center" vertical="center"/>
    </xf>
    <xf numFmtId="164" fontId="0" fillId="6" borderId="18" xfId="0" applyNumberFormat="1" applyFill="1" applyBorder="1" applyAlignment="1">
      <alignment horizontal="left" vertical="center"/>
    </xf>
    <xf numFmtId="164" fontId="0" fillId="6" borderId="19" xfId="0" applyNumberFormat="1" applyFill="1" applyBorder="1" applyAlignment="1">
      <alignment horizontal="left" vertical="center"/>
    </xf>
    <xf numFmtId="164" fontId="0" fillId="6" borderId="20" xfId="0" applyNumberFormat="1" applyFill="1" applyBorder="1" applyAlignment="1">
      <alignment horizontal="left" vertical="center"/>
    </xf>
    <xf numFmtId="164" fontId="4" fillId="6" borderId="24" xfId="0" applyNumberFormat="1" applyFont="1" applyFill="1" applyBorder="1" applyAlignment="1">
      <alignment horizontal="left" vertical="center"/>
    </xf>
    <xf numFmtId="164" fontId="4" fillId="6" borderId="25" xfId="0" applyNumberFormat="1" applyFont="1" applyFill="1" applyBorder="1" applyAlignment="1">
      <alignment horizontal="left" vertical="center"/>
    </xf>
    <xf numFmtId="164" fontId="4" fillId="6" borderId="26" xfId="0" applyNumberFormat="1" applyFont="1" applyFill="1" applyBorder="1" applyAlignment="1">
      <alignment horizontal="left" vertical="center"/>
    </xf>
    <xf numFmtId="164" fontId="4" fillId="6" borderId="2" xfId="0" applyNumberFormat="1" applyFont="1" applyFill="1" applyBorder="1" applyAlignment="1">
      <alignment horizontal="left" vertical="center"/>
    </xf>
    <xf numFmtId="164" fontId="4" fillId="6" borderId="17" xfId="0" applyNumberFormat="1" applyFont="1" applyFill="1" applyBorder="1" applyAlignment="1">
      <alignment horizontal="left" vertical="center"/>
    </xf>
    <xf numFmtId="0" fontId="0" fillId="6" borderId="11" xfId="0" applyFill="1" applyBorder="1" applyAlignment="1">
      <alignment horizontal="left" vertical="center"/>
    </xf>
    <xf numFmtId="0" fontId="0" fillId="6" borderId="13" xfId="0" applyFill="1" applyBorder="1" applyAlignment="1">
      <alignment horizontal="left" vertical="center"/>
    </xf>
    <xf numFmtId="0" fontId="0" fillId="6" borderId="14" xfId="0" applyFill="1" applyBorder="1" applyAlignment="1">
      <alignment horizontal="left" vertical="center"/>
    </xf>
    <xf numFmtId="167" fontId="0" fillId="6" borderId="11" xfId="0" applyNumberFormat="1" applyFill="1" applyBorder="1" applyAlignment="1">
      <alignment horizontal="left" vertical="center"/>
    </xf>
    <xf numFmtId="167" fontId="0" fillId="6" borderId="13" xfId="0" applyNumberFormat="1" applyFill="1" applyBorder="1" applyAlignment="1">
      <alignment horizontal="left" vertical="center"/>
    </xf>
    <xf numFmtId="167" fontId="0" fillId="6" borderId="14" xfId="0" applyNumberFormat="1" applyFill="1" applyBorder="1" applyAlignment="1">
      <alignment horizontal="left" vertical="center"/>
    </xf>
    <xf numFmtId="0" fontId="2" fillId="7" borderId="11" xfId="0" applyFont="1" applyFill="1" applyBorder="1" applyAlignment="1">
      <alignment horizontal="left"/>
    </xf>
    <xf numFmtId="0" fontId="2" fillId="7" borderId="13" xfId="0" applyFont="1" applyFill="1" applyBorder="1" applyAlignment="1">
      <alignment horizontal="left"/>
    </xf>
    <xf numFmtId="0" fontId="2" fillId="7" borderId="14" xfId="0" applyFont="1" applyFill="1" applyBorder="1" applyAlignment="1">
      <alignment horizontal="left"/>
    </xf>
    <xf numFmtId="0" fontId="0" fillId="0" borderId="11" xfId="0" applyBorder="1" applyAlignment="1" applyProtection="1">
      <alignment horizontal="center"/>
      <protection locked="0"/>
    </xf>
    <xf numFmtId="0" fontId="0" fillId="0" borderId="13" xfId="0" applyBorder="1" applyAlignment="1" applyProtection="1">
      <alignment horizontal="center"/>
      <protection locked="0"/>
    </xf>
    <xf numFmtId="0" fontId="0" fillId="0" borderId="14" xfId="0" applyBorder="1" applyAlignment="1" applyProtection="1">
      <alignment horizontal="center"/>
      <protection locked="0"/>
    </xf>
    <xf numFmtId="0" fontId="0" fillId="0" borderId="0" xfId="0" applyAlignment="1" applyProtection="1">
      <alignment horizontal="left" vertical="top"/>
      <protection locked="0"/>
    </xf>
    <xf numFmtId="0" fontId="2" fillId="7" borderId="11" xfId="0" applyFont="1" applyFill="1" applyBorder="1" applyAlignment="1">
      <alignment vertical="center"/>
    </xf>
    <xf numFmtId="0" fontId="2" fillId="7" borderId="13" xfId="0" applyFont="1" applyFill="1" applyBorder="1" applyAlignment="1">
      <alignment vertical="center"/>
    </xf>
    <xf numFmtId="0" fontId="2" fillId="7" borderId="14" xfId="0" applyFont="1" applyFill="1" applyBorder="1" applyAlignment="1">
      <alignment vertical="center"/>
    </xf>
    <xf numFmtId="0" fontId="2" fillId="7" borderId="11" xfId="0" applyFont="1" applyFill="1" applyBorder="1" applyAlignment="1">
      <alignment horizontal="center" vertical="center" wrapText="1"/>
    </xf>
    <xf numFmtId="0" fontId="2" fillId="7" borderId="13" xfId="0" applyFont="1" applyFill="1" applyBorder="1" applyAlignment="1">
      <alignment horizontal="center" vertical="center" wrapText="1"/>
    </xf>
    <xf numFmtId="0" fontId="2" fillId="7" borderId="14" xfId="0" applyFont="1" applyFill="1" applyBorder="1" applyAlignment="1">
      <alignment horizontal="center" vertical="center" wrapText="1"/>
    </xf>
    <xf numFmtId="49" fontId="0" fillId="6" borderId="11" xfId="0" applyNumberFormat="1" applyFill="1" applyBorder="1" applyAlignment="1">
      <alignment horizontal="left"/>
    </xf>
    <xf numFmtId="49" fontId="0" fillId="6" borderId="13" xfId="0" applyNumberFormat="1" applyFill="1" applyBorder="1" applyAlignment="1">
      <alignment horizontal="left"/>
    </xf>
    <xf numFmtId="49" fontId="0" fillId="6" borderId="14" xfId="0" applyNumberFormat="1" applyFill="1" applyBorder="1" applyAlignment="1">
      <alignment horizontal="left"/>
    </xf>
    <xf numFmtId="0" fontId="8" fillId="0" borderId="0" xfId="0" applyFont="1" applyAlignment="1">
      <alignment horizontal="left"/>
    </xf>
    <xf numFmtId="0" fontId="2" fillId="7" borderId="11" xfId="0" applyFont="1" applyFill="1" applyBorder="1" applyAlignment="1">
      <alignment horizontal="left" vertical="center"/>
    </xf>
    <xf numFmtId="0" fontId="2" fillId="7" borderId="14" xfId="0" applyFont="1" applyFill="1" applyBorder="1" applyAlignment="1">
      <alignment horizontal="left" vertical="center"/>
    </xf>
    <xf numFmtId="0" fontId="8" fillId="5" borderId="3" xfId="0" quotePrefix="1" applyFont="1" applyFill="1" applyBorder="1" applyAlignment="1">
      <alignment horizontal="left" vertical="center"/>
    </xf>
  </cellXfs>
  <cellStyles count="5">
    <cellStyle name="Historical inputs" xfId="1" xr:uid="{00000000-0005-0000-0000-000000000000}"/>
    <cellStyle name="Hyperlink" xfId="3" builtinId="8"/>
    <cellStyle name="Normal" xfId="0" builtinId="0"/>
    <cellStyle name="Normal 2" xfId="4" xr:uid="{4DD17D10-E3DD-422D-B26F-C40476E73C3D}"/>
    <cellStyle name="Percent" xfId="2" builtinId="5"/>
  </cellStyles>
  <dxfs count="1">
    <dxf>
      <font>
        <color theme="0" tint="-0.499984740745262"/>
      </font>
      <fill>
        <patternFill>
          <bgColor theme="0" tint="-0.499984740745262"/>
        </patternFill>
      </fill>
    </dxf>
  </dxfs>
  <tableStyles count="0" defaultTableStyle="TableStyleMedium2" defaultPivotStyle="PivotStyleLight16"/>
  <colors>
    <mruColors>
      <color rgb="FF16284D"/>
      <color rgb="FF35617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17"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14</xdr:col>
      <xdr:colOff>140494</xdr:colOff>
      <xdr:row>14</xdr:row>
      <xdr:rowOff>11907</xdr:rowOff>
    </xdr:from>
    <xdr:to>
      <xdr:col>16</xdr:col>
      <xdr:colOff>511970</xdr:colOff>
      <xdr:row>15</xdr:row>
      <xdr:rowOff>45244</xdr:rowOff>
    </xdr:to>
    <xdr:sp macro="" textlink="">
      <xdr:nvSpPr>
        <xdr:cNvPr id="4" name="Rectangle 3">
          <a:extLst>
            <a:ext uri="{FF2B5EF4-FFF2-40B4-BE49-F238E27FC236}">
              <a16:creationId xmlns:a16="http://schemas.microsoft.com/office/drawing/2014/main" id="{00000000-0008-0000-0000-000004000000}"/>
            </a:ext>
          </a:extLst>
        </xdr:cNvPr>
        <xdr:cNvSpPr/>
      </xdr:nvSpPr>
      <xdr:spPr>
        <a:xfrm>
          <a:off x="13118307" y="3643313"/>
          <a:ext cx="1264444" cy="22383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endParaRPr lang="en-US"/>
        </a:p>
      </xdr:txBody>
    </xdr:sp>
    <xdr:clientData/>
  </xdr:twoCellAnchor>
  <xdr:twoCellAnchor editAs="oneCell">
    <xdr:from>
      <xdr:col>1</xdr:col>
      <xdr:colOff>29308</xdr:colOff>
      <xdr:row>0</xdr:row>
      <xdr:rowOff>146540</xdr:rowOff>
    </xdr:from>
    <xdr:to>
      <xdr:col>3</xdr:col>
      <xdr:colOff>574554</xdr:colOff>
      <xdr:row>6</xdr:row>
      <xdr:rowOff>121102</xdr:rowOff>
    </xdr:to>
    <xdr:pic>
      <xdr:nvPicPr>
        <xdr:cNvPr id="6" name="Picture 5" descr="Related image">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737" y="146540"/>
          <a:ext cx="2432103" cy="11506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stats.gov.sa/sites/default/files/the_national_classification_of_economic_activities_aug-2019_isic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B2:U45"/>
  <sheetViews>
    <sheetView showGridLines="0" tabSelected="1" zoomScale="70" zoomScaleNormal="70" workbookViewId="0">
      <selection activeCell="I39" sqref="I39"/>
    </sheetView>
  </sheetViews>
  <sheetFormatPr defaultColWidth="8.85546875" defaultRowHeight="15" x14ac:dyDescent="0.25"/>
  <cols>
    <col min="1" max="1" width="4.42578125" style="1" customWidth="1"/>
    <col min="2" max="5" width="13.42578125" style="1" customWidth="1"/>
    <col min="6" max="6" width="18.5703125" style="1" customWidth="1"/>
    <col min="7" max="7" width="17.140625" style="1" customWidth="1"/>
    <col min="8" max="8" width="20.140625" style="1" customWidth="1"/>
    <col min="9" max="9" width="13.42578125" style="1" customWidth="1"/>
    <col min="10" max="10" width="18.42578125" style="1" customWidth="1"/>
    <col min="11" max="11" width="19.42578125" style="1" customWidth="1"/>
    <col min="12" max="12" width="16.85546875" style="1" customWidth="1"/>
    <col min="13" max="13" width="13.42578125" style="1" customWidth="1"/>
    <col min="14" max="14" width="4.42578125" style="1" customWidth="1"/>
    <col min="15" max="15" width="2.5703125" style="1" customWidth="1"/>
    <col min="16" max="16" width="9.140625" style="1" customWidth="1"/>
    <col min="17" max="18" width="18.42578125" style="1" customWidth="1"/>
    <col min="19" max="19" width="3.42578125" style="1" customWidth="1"/>
    <col min="20" max="25" width="8.85546875" style="1"/>
    <col min="26" max="26" width="20.42578125" style="1" customWidth="1"/>
    <col min="27" max="28" width="8.85546875" style="1"/>
    <col min="29" max="30" width="61" style="1" customWidth="1"/>
    <col min="31" max="16384" width="8.85546875" style="1"/>
  </cols>
  <sheetData>
    <row r="2" spans="2:21" ht="15.6" customHeight="1" x14ac:dyDescent="0.25">
      <c r="E2" s="121" t="s">
        <v>165</v>
      </c>
      <c r="F2" s="121"/>
      <c r="G2" s="121"/>
      <c r="H2" s="121"/>
      <c r="I2" s="121"/>
      <c r="J2" s="121"/>
      <c r="K2" s="121"/>
      <c r="L2" s="121"/>
      <c r="M2" s="121"/>
      <c r="N2" s="11"/>
      <c r="O2" s="11"/>
    </row>
    <row r="3" spans="2:21" ht="15.6" customHeight="1" x14ac:dyDescent="0.25">
      <c r="E3" s="121"/>
      <c r="F3" s="121"/>
      <c r="G3" s="121"/>
      <c r="H3" s="121"/>
      <c r="I3" s="121"/>
      <c r="J3" s="121"/>
      <c r="K3" s="121"/>
      <c r="L3" s="121"/>
      <c r="M3" s="121"/>
      <c r="N3" s="11"/>
      <c r="O3" s="11"/>
      <c r="Q3" s="101" t="s">
        <v>248</v>
      </c>
      <c r="R3" s="101" t="s">
        <v>251</v>
      </c>
    </row>
    <row r="4" spans="2:21" ht="15.6" customHeight="1" x14ac:dyDescent="0.25">
      <c r="E4" s="121"/>
      <c r="F4" s="121"/>
      <c r="G4" s="121"/>
      <c r="H4" s="121"/>
      <c r="I4" s="121"/>
      <c r="J4" s="121"/>
      <c r="K4" s="121"/>
      <c r="L4" s="121"/>
      <c r="M4" s="121"/>
      <c r="N4" s="11"/>
      <c r="O4" s="11"/>
      <c r="Q4" s="101" t="s">
        <v>249</v>
      </c>
      <c r="R4" s="101" t="s">
        <v>250</v>
      </c>
    </row>
    <row r="5" spans="2:21" ht="15.6" customHeight="1" x14ac:dyDescent="0.25">
      <c r="E5" s="121"/>
      <c r="F5" s="121"/>
      <c r="G5" s="121"/>
      <c r="H5" s="121"/>
      <c r="I5" s="121"/>
      <c r="J5" s="121"/>
      <c r="K5" s="121"/>
      <c r="L5" s="121"/>
      <c r="M5" s="121"/>
      <c r="N5" s="11"/>
      <c r="O5" s="11"/>
    </row>
    <row r="6" spans="2:21" ht="15.6" customHeight="1" x14ac:dyDescent="0.25">
      <c r="F6" s="11"/>
      <c r="G6" s="120"/>
      <c r="H6" s="120"/>
      <c r="I6" s="120"/>
      <c r="J6" s="120"/>
      <c r="K6" s="11"/>
      <c r="N6" s="11"/>
      <c r="O6" s="11"/>
    </row>
    <row r="7" spans="2:21" ht="15.6" customHeight="1" x14ac:dyDescent="0.25">
      <c r="F7" s="117"/>
      <c r="G7" s="117"/>
      <c r="H7" s="117"/>
      <c r="I7" s="117"/>
      <c r="J7" s="117"/>
      <c r="K7" s="117"/>
      <c r="L7" s="12"/>
      <c r="M7" s="12"/>
      <c r="N7" s="12"/>
    </row>
    <row r="8" spans="2:21" ht="15.6" customHeight="1" x14ac:dyDescent="0.25"/>
    <row r="9" spans="2:21" ht="16.350000000000001" customHeight="1" x14ac:dyDescent="0.25">
      <c r="B9" s="23" t="s">
        <v>23</v>
      </c>
      <c r="C9" s="82"/>
      <c r="D9" s="24"/>
      <c r="E9" s="24"/>
      <c r="F9" s="24"/>
      <c r="G9" s="24"/>
      <c r="H9" s="24"/>
      <c r="I9" s="24"/>
      <c r="J9" s="24"/>
      <c r="K9" s="24"/>
      <c r="L9" s="24"/>
      <c r="M9" s="24"/>
      <c r="O9" s="23" t="s">
        <v>25</v>
      </c>
      <c r="P9" s="23"/>
      <c r="Q9" s="24"/>
      <c r="R9" s="24"/>
      <c r="S9" s="24"/>
    </row>
    <row r="10" spans="2:21" ht="15.6" customHeight="1" x14ac:dyDescent="0.25">
      <c r="B10" s="108" t="s">
        <v>164</v>
      </c>
      <c r="C10" s="109"/>
      <c r="D10" s="109"/>
      <c r="E10" s="109"/>
      <c r="F10" s="109"/>
      <c r="G10" s="109"/>
      <c r="H10" s="109"/>
      <c r="I10" s="109"/>
      <c r="J10" s="109"/>
      <c r="K10" s="109"/>
      <c r="L10" s="109"/>
      <c r="M10" s="110"/>
      <c r="O10" s="83"/>
      <c r="S10" s="84"/>
    </row>
    <row r="11" spans="2:21" ht="15.6" customHeight="1" x14ac:dyDescent="0.25">
      <c r="B11" s="111"/>
      <c r="C11" s="112"/>
      <c r="D11" s="112"/>
      <c r="E11" s="112"/>
      <c r="F11" s="112"/>
      <c r="G11" s="112"/>
      <c r="H11" s="112"/>
      <c r="I11" s="112"/>
      <c r="J11" s="112"/>
      <c r="K11" s="112"/>
      <c r="L11" s="112"/>
      <c r="M11" s="113"/>
      <c r="O11" s="83"/>
      <c r="P11" s="85" t="s">
        <v>1</v>
      </c>
      <c r="Q11" s="86" t="s">
        <v>2</v>
      </c>
      <c r="R11" s="86"/>
      <c r="S11" s="84"/>
      <c r="U11" s="4"/>
    </row>
    <row r="12" spans="2:21" ht="15.6" customHeight="1" x14ac:dyDescent="0.25">
      <c r="B12" s="111"/>
      <c r="C12" s="112"/>
      <c r="D12" s="112"/>
      <c r="E12" s="112"/>
      <c r="F12" s="112"/>
      <c r="G12" s="112"/>
      <c r="H12" s="112"/>
      <c r="I12" s="112"/>
      <c r="J12" s="112"/>
      <c r="K12" s="112"/>
      <c r="L12" s="112"/>
      <c r="M12" s="113"/>
      <c r="O12" s="83"/>
      <c r="P12" s="87" t="s">
        <v>1</v>
      </c>
      <c r="Q12" s="86" t="s">
        <v>22</v>
      </c>
      <c r="R12" s="86"/>
      <c r="S12" s="84"/>
    </row>
    <row r="13" spans="2:21" ht="15.6" customHeight="1" x14ac:dyDescent="0.25">
      <c r="B13" s="111"/>
      <c r="C13" s="112"/>
      <c r="D13" s="112"/>
      <c r="E13" s="112"/>
      <c r="F13" s="112"/>
      <c r="G13" s="112"/>
      <c r="H13" s="112"/>
      <c r="I13" s="112"/>
      <c r="J13" s="112"/>
      <c r="K13" s="112"/>
      <c r="L13" s="112"/>
      <c r="M13" s="113"/>
      <c r="O13" s="83"/>
      <c r="P13" s="88" t="s">
        <v>1</v>
      </c>
      <c r="Q13" s="86" t="s">
        <v>3</v>
      </c>
      <c r="R13" s="86"/>
      <c r="S13" s="84"/>
    </row>
    <row r="14" spans="2:21" ht="15.6" customHeight="1" x14ac:dyDescent="0.25">
      <c r="B14" s="111"/>
      <c r="C14" s="112"/>
      <c r="D14" s="112"/>
      <c r="E14" s="112"/>
      <c r="F14" s="112"/>
      <c r="G14" s="112"/>
      <c r="H14" s="112"/>
      <c r="I14" s="112"/>
      <c r="J14" s="112"/>
      <c r="K14" s="112"/>
      <c r="L14" s="112"/>
      <c r="M14" s="113"/>
      <c r="O14" s="83"/>
      <c r="P14" s="89" t="s">
        <v>1</v>
      </c>
      <c r="Q14" s="90" t="s">
        <v>21</v>
      </c>
      <c r="R14" s="90"/>
      <c r="S14" s="84"/>
    </row>
    <row r="15" spans="2:21" ht="15.6" customHeight="1" x14ac:dyDescent="0.25">
      <c r="B15" s="111"/>
      <c r="C15" s="112"/>
      <c r="D15" s="112"/>
      <c r="E15" s="112"/>
      <c r="F15" s="112"/>
      <c r="G15" s="112"/>
      <c r="H15" s="112"/>
      <c r="I15" s="112"/>
      <c r="J15" s="112"/>
      <c r="K15" s="112"/>
      <c r="L15" s="112"/>
      <c r="M15" s="113"/>
      <c r="O15" s="83"/>
      <c r="P15" s="91"/>
      <c r="Q15" s="86"/>
      <c r="R15" s="86"/>
      <c r="S15" s="84"/>
    </row>
    <row r="16" spans="2:21" ht="15.6" customHeight="1" x14ac:dyDescent="0.25">
      <c r="B16" s="114"/>
      <c r="C16" s="115"/>
      <c r="D16" s="115"/>
      <c r="E16" s="115"/>
      <c r="F16" s="115"/>
      <c r="G16" s="115"/>
      <c r="H16" s="115"/>
      <c r="I16" s="115"/>
      <c r="J16" s="115"/>
      <c r="K16" s="115"/>
      <c r="L16" s="115"/>
      <c r="M16" s="116"/>
      <c r="O16" s="92"/>
      <c r="P16" s="93"/>
      <c r="Q16" s="94"/>
      <c r="R16" s="95"/>
      <c r="S16" s="96"/>
    </row>
    <row r="17" spans="2:19" ht="15.6" customHeight="1" x14ac:dyDescent="0.25"/>
    <row r="18" spans="2:19" ht="16.350000000000001" customHeight="1" x14ac:dyDescent="0.25">
      <c r="B18" s="23" t="s">
        <v>24</v>
      </c>
      <c r="C18" s="24"/>
      <c r="D18" s="24"/>
      <c r="E18" s="24"/>
      <c r="F18" s="23" t="s">
        <v>0</v>
      </c>
      <c r="G18" s="24"/>
      <c r="H18" s="24"/>
      <c r="I18" s="24"/>
      <c r="J18" s="24"/>
      <c r="K18" s="24"/>
      <c r="L18" s="24"/>
      <c r="M18" s="24"/>
      <c r="N18" s="24"/>
      <c r="O18" s="24"/>
      <c r="P18" s="24"/>
      <c r="Q18" s="24"/>
      <c r="R18" s="24"/>
      <c r="S18" s="24"/>
    </row>
    <row r="19" spans="2:19" ht="15.6" customHeight="1" x14ac:dyDescent="0.25">
      <c r="B19" s="106" t="s">
        <v>15</v>
      </c>
      <c r="C19" s="107"/>
      <c r="D19" s="107"/>
      <c r="E19" s="107"/>
      <c r="F19" s="118" t="s">
        <v>166</v>
      </c>
      <c r="G19" s="118"/>
      <c r="H19" s="118"/>
      <c r="I19" s="118"/>
      <c r="J19" s="118"/>
      <c r="K19" s="118"/>
      <c r="L19" s="118"/>
      <c r="M19" s="118"/>
      <c r="N19" s="118"/>
      <c r="O19" s="118"/>
      <c r="P19" s="118"/>
      <c r="Q19" s="118"/>
      <c r="R19" s="118"/>
      <c r="S19" s="119"/>
    </row>
    <row r="20" spans="2:19" ht="15.6" customHeight="1" x14ac:dyDescent="0.25">
      <c r="B20" s="102" t="s">
        <v>14</v>
      </c>
      <c r="C20" s="103"/>
      <c r="D20" s="103"/>
      <c r="E20" s="103"/>
      <c r="F20" s="104" t="s">
        <v>167</v>
      </c>
      <c r="G20" s="104"/>
      <c r="H20" s="104"/>
      <c r="I20" s="104"/>
      <c r="J20" s="104"/>
      <c r="K20" s="104"/>
      <c r="L20" s="104"/>
      <c r="M20" s="104"/>
      <c r="N20" s="104"/>
      <c r="O20" s="104"/>
      <c r="P20" s="104"/>
      <c r="Q20" s="104"/>
      <c r="R20" s="104"/>
      <c r="S20" s="105"/>
    </row>
    <row r="21" spans="2:19" ht="15.6" customHeight="1" x14ac:dyDescent="0.25">
      <c r="B21" s="102" t="s">
        <v>16</v>
      </c>
      <c r="C21" s="103"/>
      <c r="D21" s="103"/>
      <c r="E21" s="103"/>
      <c r="F21" s="104" t="s">
        <v>168</v>
      </c>
      <c r="G21" s="104"/>
      <c r="H21" s="104"/>
      <c r="I21" s="104"/>
      <c r="J21" s="104"/>
      <c r="K21" s="104"/>
      <c r="L21" s="104"/>
      <c r="M21" s="104"/>
      <c r="N21" s="104"/>
      <c r="O21" s="104"/>
      <c r="P21" s="104"/>
      <c r="Q21" s="104"/>
      <c r="R21" s="104"/>
      <c r="S21" s="105"/>
    </row>
    <row r="22" spans="2:19" ht="15.6" customHeight="1" x14ac:dyDescent="0.25">
      <c r="B22" s="102" t="s">
        <v>17</v>
      </c>
      <c r="C22" s="103"/>
      <c r="D22" s="103"/>
      <c r="E22" s="103"/>
      <c r="F22" s="104" t="s">
        <v>169</v>
      </c>
      <c r="G22" s="104"/>
      <c r="H22" s="104"/>
      <c r="I22" s="104"/>
      <c r="J22" s="104"/>
      <c r="K22" s="104"/>
      <c r="L22" s="104"/>
      <c r="M22" s="104"/>
      <c r="N22" s="104"/>
      <c r="O22" s="104"/>
      <c r="P22" s="104"/>
      <c r="Q22" s="104"/>
      <c r="R22" s="104"/>
      <c r="S22" s="105"/>
    </row>
    <row r="23" spans="2:19" ht="15.6" customHeight="1" x14ac:dyDescent="0.25">
      <c r="B23" s="102" t="s">
        <v>18</v>
      </c>
      <c r="C23" s="103"/>
      <c r="D23" s="103"/>
      <c r="E23" s="103"/>
      <c r="F23" s="104" t="s">
        <v>170</v>
      </c>
      <c r="G23" s="104"/>
      <c r="H23" s="104"/>
      <c r="I23" s="104"/>
      <c r="J23" s="104"/>
      <c r="K23" s="104"/>
      <c r="L23" s="104"/>
      <c r="M23" s="104"/>
      <c r="N23" s="104"/>
      <c r="O23" s="104"/>
      <c r="P23" s="104"/>
      <c r="Q23" s="104"/>
      <c r="R23" s="104"/>
      <c r="S23" s="105"/>
    </row>
    <row r="24" spans="2:19" ht="15.6" customHeight="1" x14ac:dyDescent="0.25">
      <c r="B24" s="102" t="s">
        <v>101</v>
      </c>
      <c r="C24" s="103"/>
      <c r="D24" s="103"/>
      <c r="E24" s="103"/>
      <c r="F24" s="104" t="s">
        <v>171</v>
      </c>
      <c r="G24" s="104"/>
      <c r="H24" s="104"/>
      <c r="I24" s="104"/>
      <c r="J24" s="104"/>
      <c r="K24" s="104"/>
      <c r="L24" s="104"/>
      <c r="M24" s="104"/>
      <c r="N24" s="104"/>
      <c r="O24" s="104"/>
      <c r="P24" s="104"/>
      <c r="Q24" s="104"/>
      <c r="R24" s="104"/>
      <c r="S24" s="105"/>
    </row>
    <row r="25" spans="2:19" ht="15.6" customHeight="1" x14ac:dyDescent="0.25">
      <c r="B25" s="102" t="s">
        <v>57</v>
      </c>
      <c r="C25" s="103"/>
      <c r="D25" s="103"/>
      <c r="E25" s="103"/>
      <c r="F25" s="104" t="s">
        <v>172</v>
      </c>
      <c r="G25" s="104"/>
      <c r="H25" s="104"/>
      <c r="I25" s="104"/>
      <c r="J25" s="104"/>
      <c r="K25" s="104"/>
      <c r="L25" s="104"/>
      <c r="M25" s="104"/>
      <c r="N25" s="104"/>
      <c r="O25" s="104"/>
      <c r="P25" s="104"/>
      <c r="Q25" s="104"/>
      <c r="R25" s="104"/>
      <c r="S25" s="105"/>
    </row>
    <row r="27" spans="2:19" x14ac:dyDescent="0.25">
      <c r="B27" s="97" t="s">
        <v>173</v>
      </c>
    </row>
    <row r="29" spans="2:19" ht="14.45" customHeight="1" x14ac:dyDescent="0.25"/>
    <row r="41" spans="2:2" ht="14.45" customHeight="1" x14ac:dyDescent="0.25">
      <c r="B41" s="98"/>
    </row>
    <row r="42" spans="2:2" x14ac:dyDescent="0.25">
      <c r="B42" s="98"/>
    </row>
    <row r="43" spans="2:2" x14ac:dyDescent="0.25">
      <c r="B43" s="98"/>
    </row>
    <row r="44" spans="2:2" x14ac:dyDescent="0.25">
      <c r="B44" s="98"/>
    </row>
    <row r="45" spans="2:2" x14ac:dyDescent="0.25">
      <c r="B45" s="98"/>
    </row>
  </sheetData>
  <sheetProtection algorithmName="SHA-512" hashValue="TIkXdRcdxCN6NHLVR2ZrSJkNWLaxv7Qy+ywAK8dC+ifQ7TYiQzT9dxq0pa65nB9PWvhzy17PAH/daCpFeAr+7g==" saltValue="htZlca/hQhNhhYguUska5g==" spinCount="100000" sheet="1" formatCells="0"/>
  <mergeCells count="18">
    <mergeCell ref="B10:M16"/>
    <mergeCell ref="F7:K7"/>
    <mergeCell ref="F19:S19"/>
    <mergeCell ref="G6:J6"/>
    <mergeCell ref="E2:M5"/>
    <mergeCell ref="B25:E25"/>
    <mergeCell ref="F25:S25"/>
    <mergeCell ref="F24:S24"/>
    <mergeCell ref="F23:S23"/>
    <mergeCell ref="B19:E19"/>
    <mergeCell ref="B24:E24"/>
    <mergeCell ref="F20:S20"/>
    <mergeCell ref="F22:S22"/>
    <mergeCell ref="F21:S21"/>
    <mergeCell ref="B22:E22"/>
    <mergeCell ref="B20:E20"/>
    <mergeCell ref="B23:E23"/>
    <mergeCell ref="B21:E21"/>
  </mergeCells>
  <hyperlinks>
    <hyperlink ref="B19:E19" location="'Section 1. General Information'!A1" display="Section 1. General Information" xr:uid="{00000000-0004-0000-0000-000000000000}"/>
    <hyperlink ref="B20:E20" location="'Section 2. Evaluation'!A1" display="Section 2. Evaluation " xr:uid="{00000000-0004-0000-0000-000001000000}"/>
    <hyperlink ref="B21:E21" location="'Section 3. Labor'!A1" display="Section 3. Labor" xr:uid="{00000000-0004-0000-0000-000002000000}"/>
    <hyperlink ref="B22:E22" location="'Section 4. Goods and Services'!A1" display="Section 4. Goods &amp; Services" xr:uid="{00000000-0004-0000-0000-000003000000}"/>
    <hyperlink ref="B23:E23" location="'Section 5. Capacity Building'!A1" display="Section 5. Capacity Building" xr:uid="{00000000-0004-0000-0000-000004000000}"/>
    <hyperlink ref="B24:E24" location="'Section 6. Depreciation &amp; Amor.'!A1" display="Section 6. Depreciation and Amortization" xr:uid="{00000000-0004-0000-0000-000005000000}"/>
    <hyperlink ref="B25:E25" location="'Appendix A'!A1" display="Appendix A." xr:uid="{00000000-0004-0000-0000-000006000000}"/>
  </hyperlinks>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sheetPr>
  <dimension ref="B1:R28"/>
  <sheetViews>
    <sheetView showGridLines="0" topLeftCell="A12" zoomScale="70" zoomScaleNormal="70" workbookViewId="0">
      <selection activeCell="B32" sqref="B32"/>
    </sheetView>
  </sheetViews>
  <sheetFormatPr defaultColWidth="8.85546875" defaultRowHeight="15" x14ac:dyDescent="0.25"/>
  <cols>
    <col min="1" max="1" width="4.42578125" style="1" customWidth="1"/>
    <col min="2" max="2" width="59.85546875" style="1" customWidth="1"/>
    <col min="3" max="3" width="28.42578125" style="1" customWidth="1"/>
    <col min="4" max="4" width="89.42578125" style="1" customWidth="1"/>
    <col min="5" max="5" width="8.42578125" style="1" customWidth="1"/>
    <col min="6" max="10" width="12.140625" style="1" customWidth="1"/>
    <col min="11" max="16384" width="8.85546875" style="1"/>
  </cols>
  <sheetData>
    <row r="1" spans="2:18" ht="28.5" x14ac:dyDescent="0.25">
      <c r="B1" s="11" t="s">
        <v>31</v>
      </c>
    </row>
    <row r="2" spans="2:18" ht="21.6" customHeight="1" x14ac:dyDescent="0.25">
      <c r="B2" s="127" t="s">
        <v>188</v>
      </c>
      <c r="C2" s="127"/>
      <c r="D2" s="127"/>
    </row>
    <row r="3" spans="2:18" ht="20.45" customHeight="1" x14ac:dyDescent="0.25">
      <c r="B3" s="25" t="s">
        <v>174</v>
      </c>
      <c r="C3" s="132"/>
      <c r="D3" s="133"/>
      <c r="F3" s="122"/>
      <c r="G3" s="122"/>
      <c r="H3" s="122"/>
      <c r="I3" s="122"/>
      <c r="J3" s="122"/>
      <c r="K3" s="122"/>
      <c r="L3" s="122"/>
      <c r="M3" s="122"/>
      <c r="N3" s="122"/>
      <c r="O3" s="122"/>
      <c r="P3" s="122"/>
      <c r="Q3" s="122"/>
      <c r="R3" s="122"/>
    </row>
    <row r="4" spans="2:18" ht="20.45" customHeight="1" x14ac:dyDescent="0.25">
      <c r="B4" s="25" t="s">
        <v>50</v>
      </c>
      <c r="C4" s="132"/>
      <c r="D4" s="133"/>
      <c r="F4" s="122"/>
      <c r="G4" s="122"/>
      <c r="H4" s="122"/>
      <c r="I4" s="122"/>
      <c r="J4" s="122"/>
      <c r="K4" s="122"/>
      <c r="L4" s="122"/>
      <c r="M4" s="122"/>
      <c r="N4" s="122"/>
      <c r="O4" s="122"/>
      <c r="P4" s="122"/>
      <c r="Q4" s="122"/>
      <c r="R4" s="122"/>
    </row>
    <row r="5" spans="2:18" ht="20.45" customHeight="1" x14ac:dyDescent="0.25">
      <c r="B5" s="26" t="s">
        <v>51</v>
      </c>
      <c r="C5" s="128"/>
      <c r="D5" s="129"/>
      <c r="F5" s="122"/>
      <c r="G5" s="122"/>
      <c r="H5" s="122"/>
      <c r="I5" s="122"/>
      <c r="J5" s="122"/>
      <c r="K5" s="122"/>
      <c r="L5" s="122"/>
      <c r="M5" s="122"/>
      <c r="N5" s="122"/>
      <c r="O5" s="122"/>
      <c r="P5" s="122"/>
      <c r="Q5" s="122"/>
      <c r="R5" s="122"/>
    </row>
    <row r="6" spans="2:18" ht="20.45" customHeight="1" x14ac:dyDescent="0.25">
      <c r="B6" s="26" t="s">
        <v>175</v>
      </c>
      <c r="C6" s="130"/>
      <c r="D6" s="131"/>
      <c r="F6" s="122"/>
      <c r="G6" s="122"/>
      <c r="H6" s="122"/>
      <c r="I6" s="122"/>
      <c r="J6" s="122"/>
      <c r="K6" s="122"/>
      <c r="L6" s="122"/>
      <c r="M6" s="122"/>
      <c r="N6" s="122"/>
      <c r="O6" s="122"/>
      <c r="P6" s="122"/>
      <c r="Q6" s="122"/>
      <c r="R6" s="122"/>
    </row>
    <row r="7" spans="2:18" ht="20.45" customHeight="1" x14ac:dyDescent="0.25">
      <c r="B7" s="4"/>
      <c r="C7" s="99"/>
      <c r="D7" s="99"/>
      <c r="F7" s="100"/>
      <c r="G7" s="100"/>
      <c r="H7" s="100"/>
      <c r="I7" s="100"/>
      <c r="J7" s="100"/>
      <c r="K7" s="100"/>
      <c r="L7" s="100"/>
      <c r="M7" s="100"/>
      <c r="N7" s="100"/>
      <c r="O7" s="100"/>
      <c r="P7" s="100"/>
      <c r="Q7" s="100"/>
      <c r="R7" s="100"/>
    </row>
    <row r="8" spans="2:18" ht="20.45" customHeight="1" x14ac:dyDescent="0.25">
      <c r="B8" s="127" t="s">
        <v>58</v>
      </c>
      <c r="C8" s="127"/>
      <c r="D8" s="127"/>
      <c r="F8" s="100"/>
      <c r="G8" s="100"/>
      <c r="H8" s="100"/>
      <c r="I8" s="100"/>
      <c r="J8" s="100"/>
      <c r="K8" s="100"/>
      <c r="L8" s="100"/>
      <c r="M8" s="100"/>
      <c r="N8" s="100"/>
      <c r="O8" s="100"/>
      <c r="P8" s="100"/>
      <c r="Q8" s="100"/>
      <c r="R8" s="100"/>
    </row>
    <row r="9" spans="2:18" ht="20.45" customHeight="1" x14ac:dyDescent="0.25">
      <c r="B9" s="26" t="s">
        <v>176</v>
      </c>
      <c r="C9" s="123"/>
      <c r="D9" s="124"/>
      <c r="F9" s="100"/>
      <c r="G9" s="100"/>
      <c r="H9" s="100"/>
      <c r="I9" s="100"/>
      <c r="J9" s="100"/>
      <c r="K9" s="100"/>
      <c r="L9" s="100"/>
      <c r="M9" s="100"/>
      <c r="N9" s="100"/>
      <c r="O9" s="100"/>
      <c r="P9" s="100"/>
      <c r="Q9" s="100"/>
      <c r="R9" s="100"/>
    </row>
    <row r="10" spans="2:18" ht="20.45" customHeight="1" x14ac:dyDescent="0.25">
      <c r="B10" s="25" t="s">
        <v>177</v>
      </c>
      <c r="C10" s="123"/>
      <c r="D10" s="124"/>
      <c r="F10" s="100"/>
      <c r="G10" s="100"/>
      <c r="H10" s="100"/>
      <c r="I10" s="100"/>
      <c r="J10" s="100"/>
      <c r="K10" s="100"/>
      <c r="L10" s="100"/>
      <c r="M10" s="100"/>
      <c r="N10" s="100"/>
      <c r="O10" s="100"/>
      <c r="P10" s="100"/>
      <c r="Q10" s="100"/>
      <c r="R10" s="100"/>
    </row>
    <row r="11" spans="2:18" ht="20.45" customHeight="1" x14ac:dyDescent="0.25">
      <c r="B11" s="25" t="s">
        <v>178</v>
      </c>
      <c r="C11" s="130"/>
      <c r="D11" s="131"/>
      <c r="F11" s="100"/>
      <c r="G11" s="100"/>
      <c r="H11" s="100"/>
      <c r="I11" s="100"/>
      <c r="J11" s="100"/>
      <c r="K11" s="100"/>
      <c r="L11" s="100"/>
      <c r="M11" s="100"/>
      <c r="N11" s="100"/>
      <c r="O11" s="100"/>
      <c r="P11" s="100"/>
      <c r="Q11" s="100"/>
      <c r="R11" s="100"/>
    </row>
    <row r="12" spans="2:18" ht="20.45" customHeight="1" x14ac:dyDescent="0.25">
      <c r="B12" s="25" t="s">
        <v>179</v>
      </c>
      <c r="C12" s="123"/>
      <c r="D12" s="124"/>
      <c r="F12" s="100"/>
      <c r="G12" s="100"/>
      <c r="H12" s="100"/>
      <c r="I12" s="100"/>
      <c r="J12" s="100"/>
      <c r="K12" s="100"/>
      <c r="L12" s="100"/>
      <c r="M12" s="100"/>
      <c r="N12" s="100"/>
      <c r="O12" s="100"/>
      <c r="P12" s="100"/>
      <c r="Q12" s="100"/>
      <c r="R12" s="100"/>
    </row>
    <row r="13" spans="2:18" ht="19.350000000000001" customHeight="1" x14ac:dyDescent="0.25"/>
    <row r="14" spans="2:18" ht="21.6" customHeight="1" x14ac:dyDescent="0.25">
      <c r="B14" s="127" t="s">
        <v>52</v>
      </c>
      <c r="C14" s="127"/>
      <c r="D14" s="127"/>
      <c r="F14" s="4"/>
      <c r="G14" s="4"/>
      <c r="H14" s="4"/>
      <c r="I14" s="4"/>
      <c r="J14" s="4"/>
      <c r="K14" s="4"/>
      <c r="L14" s="4"/>
      <c r="M14" s="4"/>
      <c r="N14" s="4"/>
      <c r="O14" s="4"/>
      <c r="P14" s="4"/>
      <c r="Q14" s="4"/>
      <c r="R14" s="4"/>
    </row>
    <row r="15" spans="2:18" ht="19.350000000000001" customHeight="1" x14ac:dyDescent="0.25">
      <c r="B15" s="25" t="s">
        <v>176</v>
      </c>
      <c r="C15" s="123"/>
      <c r="D15" s="124"/>
      <c r="F15" s="122"/>
      <c r="G15" s="122"/>
      <c r="H15" s="122"/>
      <c r="I15" s="122"/>
      <c r="J15" s="122"/>
      <c r="K15" s="122"/>
      <c r="L15" s="122"/>
      <c r="M15" s="122"/>
      <c r="N15" s="122"/>
      <c r="O15" s="122"/>
      <c r="P15" s="122"/>
      <c r="Q15" s="122"/>
      <c r="R15" s="122"/>
    </row>
    <row r="16" spans="2:18" ht="19.350000000000001" customHeight="1" x14ac:dyDescent="0.25">
      <c r="B16" s="25" t="s">
        <v>180</v>
      </c>
      <c r="C16" s="125"/>
      <c r="D16" s="126"/>
      <c r="F16" s="122"/>
      <c r="G16" s="122"/>
      <c r="H16" s="122"/>
      <c r="I16" s="122"/>
      <c r="J16" s="122"/>
      <c r="K16" s="122"/>
      <c r="L16" s="122"/>
      <c r="M16" s="122"/>
      <c r="N16" s="122"/>
      <c r="O16" s="122"/>
      <c r="P16" s="122"/>
      <c r="Q16" s="122"/>
      <c r="R16" s="122"/>
    </row>
    <row r="17" spans="2:18" ht="19.350000000000001" customHeight="1" x14ac:dyDescent="0.25">
      <c r="B17" s="25" t="s">
        <v>181</v>
      </c>
      <c r="C17" s="125"/>
      <c r="D17" s="126"/>
      <c r="F17" s="122"/>
      <c r="G17" s="122"/>
      <c r="H17" s="122"/>
      <c r="I17" s="122"/>
      <c r="J17" s="122"/>
      <c r="K17" s="122"/>
      <c r="L17" s="122"/>
      <c r="M17" s="122"/>
      <c r="N17" s="122"/>
      <c r="O17" s="122"/>
      <c r="P17" s="122"/>
      <c r="Q17" s="122"/>
      <c r="R17" s="122"/>
    </row>
    <row r="18" spans="2:18" ht="19.350000000000001" customHeight="1" x14ac:dyDescent="0.25">
      <c r="B18" s="25" t="s">
        <v>182</v>
      </c>
      <c r="C18" s="125"/>
      <c r="D18" s="126"/>
      <c r="F18" s="122"/>
      <c r="G18" s="122"/>
      <c r="H18" s="122"/>
      <c r="I18" s="122"/>
      <c r="J18" s="122"/>
      <c r="K18" s="122"/>
      <c r="L18" s="122"/>
      <c r="M18" s="122"/>
      <c r="N18" s="122"/>
      <c r="O18" s="122"/>
      <c r="P18" s="122"/>
      <c r="Q18" s="122"/>
      <c r="R18" s="122"/>
    </row>
    <row r="19" spans="2:18" ht="19.350000000000001" customHeight="1" x14ac:dyDescent="0.25"/>
    <row r="20" spans="2:18" ht="21.6" customHeight="1" x14ac:dyDescent="0.25">
      <c r="B20" s="127" t="s">
        <v>53</v>
      </c>
      <c r="C20" s="127"/>
      <c r="D20" s="127"/>
      <c r="F20" s="4"/>
      <c r="G20" s="4"/>
      <c r="H20" s="4"/>
      <c r="I20" s="4"/>
      <c r="J20" s="4"/>
      <c r="K20" s="4"/>
      <c r="L20" s="4"/>
      <c r="M20" s="4"/>
      <c r="N20" s="4"/>
      <c r="O20" s="4"/>
      <c r="P20" s="4"/>
      <c r="Q20" s="4"/>
      <c r="R20" s="4"/>
    </row>
    <row r="21" spans="2:18" ht="37.5" customHeight="1" x14ac:dyDescent="0.25">
      <c r="B21" s="26" t="s">
        <v>183</v>
      </c>
      <c r="C21" s="125"/>
      <c r="D21" s="126"/>
      <c r="F21" s="4"/>
      <c r="G21" s="4"/>
      <c r="H21" s="4"/>
      <c r="I21" s="4"/>
      <c r="J21" s="4"/>
      <c r="K21" s="4"/>
      <c r="L21" s="4"/>
      <c r="M21" s="4"/>
      <c r="N21" s="4"/>
      <c r="O21" s="4"/>
      <c r="P21" s="4"/>
      <c r="Q21" s="4"/>
      <c r="R21" s="4"/>
    </row>
    <row r="22" spans="2:18" ht="19.350000000000001" customHeight="1" x14ac:dyDescent="0.25">
      <c r="F22" s="122"/>
      <c r="G22" s="122"/>
      <c r="H22" s="122"/>
      <c r="I22" s="122"/>
      <c r="J22" s="122"/>
      <c r="K22" s="122"/>
      <c r="L22" s="122"/>
      <c r="M22" s="122"/>
      <c r="N22" s="122"/>
      <c r="O22" s="122"/>
      <c r="P22" s="122"/>
      <c r="Q22" s="122"/>
      <c r="R22" s="122"/>
    </row>
    <row r="23" spans="2:18" ht="21.6" customHeight="1" x14ac:dyDescent="0.25">
      <c r="B23" s="127" t="s">
        <v>189</v>
      </c>
      <c r="C23" s="127"/>
      <c r="D23" s="127"/>
      <c r="F23" s="122"/>
      <c r="G23" s="122"/>
      <c r="H23" s="122"/>
      <c r="I23" s="122"/>
      <c r="J23" s="122"/>
      <c r="K23" s="122"/>
      <c r="L23" s="122"/>
      <c r="M23" s="122"/>
      <c r="N23" s="122"/>
      <c r="O23" s="122"/>
      <c r="P23" s="122"/>
      <c r="Q23" s="122"/>
      <c r="R23" s="122"/>
    </row>
    <row r="24" spans="2:18" ht="56.25" customHeight="1" x14ac:dyDescent="0.25">
      <c r="B24" s="26" t="s">
        <v>184</v>
      </c>
      <c r="C24" s="125"/>
      <c r="D24" s="126"/>
      <c r="F24" s="122"/>
      <c r="G24" s="122"/>
      <c r="H24" s="122"/>
      <c r="I24" s="122"/>
      <c r="J24" s="122"/>
      <c r="K24" s="122"/>
      <c r="L24" s="122"/>
      <c r="M24" s="122"/>
      <c r="N24" s="122"/>
      <c r="O24" s="122"/>
      <c r="P24" s="122"/>
      <c r="Q24" s="122"/>
      <c r="R24" s="122"/>
    </row>
    <row r="26" spans="2:18" x14ac:dyDescent="0.25">
      <c r="B26" s="1" t="s">
        <v>185</v>
      </c>
    </row>
    <row r="27" spans="2:18" x14ac:dyDescent="0.25">
      <c r="B27" s="1" t="s">
        <v>186</v>
      </c>
    </row>
    <row r="28" spans="2:18" x14ac:dyDescent="0.25">
      <c r="B28" s="1" t="s">
        <v>187</v>
      </c>
    </row>
  </sheetData>
  <sheetProtection algorithmName="SHA-512" hashValue="Dx5x2k+UaZScw6VWcTfEd7KcDR1hzEUHWw9zJTplN2r37f1awvbmvJBhJVw+/+z72U3q/xL4mkKa7q+Ppda3MA==" saltValue="DpI0bKO25urKbkgbJ4ldTA==" spinCount="100000" sheet="1" formatCells="0" insertRows="0"/>
  <mergeCells count="22">
    <mergeCell ref="B2:D2"/>
    <mergeCell ref="C6:D6"/>
    <mergeCell ref="C3:D3"/>
    <mergeCell ref="C4:D4"/>
    <mergeCell ref="B8:D8"/>
    <mergeCell ref="F22:R24"/>
    <mergeCell ref="C11:D11"/>
    <mergeCell ref="C12:D12"/>
    <mergeCell ref="C9:D9"/>
    <mergeCell ref="C10:D10"/>
    <mergeCell ref="B20:D20"/>
    <mergeCell ref="C21:D21"/>
    <mergeCell ref="B23:D23"/>
    <mergeCell ref="C24:D24"/>
    <mergeCell ref="F3:R6"/>
    <mergeCell ref="F15:R18"/>
    <mergeCell ref="C15:D15"/>
    <mergeCell ref="C18:D18"/>
    <mergeCell ref="B14:D14"/>
    <mergeCell ref="C17:D17"/>
    <mergeCell ref="C16:D16"/>
    <mergeCell ref="C5:D5"/>
  </mergeCells>
  <dataValidations count="2">
    <dataValidation type="date" allowBlank="1" showInputMessage="1" showErrorMessage="1" sqref="C7:D7" xr:uid="{00000000-0002-0000-0100-000000000000}">
      <formula1>32874</formula1>
      <formula2>73396</formula2>
    </dataValidation>
    <dataValidation type="date" allowBlank="1" showInputMessage="1" showErrorMessage="1" sqref="C11:D11" xr:uid="{00000000-0002-0000-0100-000001000000}">
      <formula1>1</formula1>
      <formula2>73396</formula2>
    </dataValidation>
  </dataValidations>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autoPageBreaks="0"/>
  </sheetPr>
  <dimension ref="B1:E44"/>
  <sheetViews>
    <sheetView showGridLines="0" zoomScale="70" zoomScaleNormal="70" workbookViewId="0">
      <selection activeCell="D27" sqref="D27"/>
    </sheetView>
  </sheetViews>
  <sheetFormatPr defaultColWidth="8.85546875" defaultRowHeight="15" x14ac:dyDescent="0.25"/>
  <cols>
    <col min="1" max="1" width="4.42578125" customWidth="1"/>
    <col min="2" max="2" width="70" customWidth="1"/>
    <col min="3" max="5" width="25.42578125" customWidth="1"/>
    <col min="6" max="6" width="6" customWidth="1"/>
    <col min="7" max="7" width="26.85546875" customWidth="1"/>
    <col min="8" max="8" width="15.5703125" customWidth="1"/>
    <col min="9" max="9" width="20.140625" customWidth="1"/>
  </cols>
  <sheetData>
    <row r="1" spans="2:5" ht="28.5" x14ac:dyDescent="0.25">
      <c r="B1" s="11" t="s">
        <v>190</v>
      </c>
    </row>
    <row r="2" spans="2:5" s="1" customFormat="1" ht="19.5" customHeight="1" x14ac:dyDescent="0.25">
      <c r="B2" s="127" t="s">
        <v>59</v>
      </c>
      <c r="C2" s="127"/>
      <c r="D2" s="127"/>
      <c r="E2" s="127"/>
    </row>
    <row r="3" spans="2:5" ht="14.45" customHeight="1" x14ac:dyDescent="0.25">
      <c r="B3" s="27" t="s">
        <v>55</v>
      </c>
      <c r="C3" s="134" t="str">
        <f>IF('Section 1. General Information'!$C$9:$D$9="","",'Section 1. General Information'!$C$9:$D$9)</f>
        <v/>
      </c>
      <c r="D3" s="135"/>
      <c r="E3" s="136"/>
    </row>
    <row r="4" spans="2:5" ht="14.45" customHeight="1" x14ac:dyDescent="0.25">
      <c r="B4" s="27" t="str">
        <f>'Section 1. General Information'!$B$4</f>
        <v>Tender Name</v>
      </c>
      <c r="C4" s="134" t="str">
        <f>IF('Section 1. General Information'!$C$4:$D$4="","",'Section 1. General Information'!$C$4:$D$4)</f>
        <v/>
      </c>
      <c r="D4" s="135"/>
      <c r="E4" s="136"/>
    </row>
    <row r="5" spans="2:5" ht="14.45" customHeight="1" x14ac:dyDescent="0.25">
      <c r="B5" s="26" t="s">
        <v>51</v>
      </c>
      <c r="C5" s="137" t="str">
        <f>IF('Section 1. General Information'!$C$5:$D$5="","",'Section 1. General Information'!$C$5:$D$5)</f>
        <v/>
      </c>
      <c r="D5" s="138"/>
      <c r="E5" s="139"/>
    </row>
    <row r="6" spans="2:5" ht="14.45" customHeight="1" x14ac:dyDescent="0.25">
      <c r="B6" s="26" t="s">
        <v>175</v>
      </c>
      <c r="C6" s="137" t="str">
        <f>IF('Section 1. General Information'!$C$6:$D$6="","",'Section 1. General Information'!$C$6:$D$6)</f>
        <v/>
      </c>
      <c r="D6" s="138"/>
      <c r="E6" s="139"/>
    </row>
    <row r="7" spans="2:5" ht="14.45" customHeight="1" x14ac:dyDescent="0.25">
      <c r="B7" s="1"/>
      <c r="C7" s="1"/>
      <c r="D7" s="1"/>
      <c r="E7" s="1"/>
    </row>
    <row r="8" spans="2:5" s="1" customFormat="1" ht="25.5" customHeight="1" x14ac:dyDescent="0.25">
      <c r="B8" s="142" t="s">
        <v>191</v>
      </c>
      <c r="C8" s="142"/>
      <c r="D8" s="142"/>
      <c r="E8" s="142"/>
    </row>
    <row r="9" spans="2:5" ht="26.45" customHeight="1" x14ac:dyDescent="0.25">
      <c r="B9" s="28" t="s">
        <v>192</v>
      </c>
      <c r="C9" s="140" t="s">
        <v>6</v>
      </c>
      <c r="D9" s="141"/>
      <c r="E9" s="141"/>
    </row>
    <row r="10" spans="2:5" ht="18.600000000000001" customHeight="1" x14ac:dyDescent="0.25">
      <c r="B10" s="29" t="s">
        <v>143</v>
      </c>
      <c r="C10" s="143">
        <f>'Section 6. Depreciation &amp; Amor.'!G25</f>
        <v>0</v>
      </c>
      <c r="D10" s="144"/>
      <c r="E10" s="145"/>
    </row>
    <row r="11" spans="2:5" ht="18.600000000000001" customHeight="1" x14ac:dyDescent="0.25">
      <c r="B11" s="29" t="s">
        <v>193</v>
      </c>
      <c r="C11" s="143">
        <f>'Section 3. Labor'!E12</f>
        <v>0</v>
      </c>
      <c r="D11" s="144"/>
      <c r="E11" s="145"/>
    </row>
    <row r="12" spans="2:5" ht="18.600000000000001" customHeight="1" x14ac:dyDescent="0.25">
      <c r="B12" s="29" t="s">
        <v>194</v>
      </c>
      <c r="C12" s="143">
        <f>'Section 4. Goods and Services'!F10</f>
        <v>0</v>
      </c>
      <c r="D12" s="144"/>
      <c r="E12" s="145"/>
    </row>
    <row r="13" spans="2:5" ht="18.600000000000001" customHeight="1" x14ac:dyDescent="0.25">
      <c r="B13" s="29" t="s">
        <v>195</v>
      </c>
      <c r="C13" s="143">
        <f>'Section 5. Capacity Building'!C9</f>
        <v>0</v>
      </c>
      <c r="D13" s="144"/>
      <c r="E13" s="145"/>
    </row>
    <row r="14" spans="2:5" ht="18.600000000000001" customHeight="1" x14ac:dyDescent="0.25">
      <c r="B14" s="29" t="s">
        <v>196</v>
      </c>
      <c r="C14" s="143">
        <f>'Section 5. Capacity Building'!C12</f>
        <v>0</v>
      </c>
      <c r="D14" s="144"/>
      <c r="E14" s="145"/>
    </row>
    <row r="15" spans="2:5" ht="18.600000000000001" customHeight="1" thickBot="1" x14ac:dyDescent="0.3">
      <c r="B15" s="29" t="s">
        <v>197</v>
      </c>
      <c r="C15" s="148">
        <f>'Section 5. Capacity Building'!C15</f>
        <v>0</v>
      </c>
      <c r="D15" s="149"/>
      <c r="E15" s="150"/>
    </row>
    <row r="16" spans="2:5" ht="18.600000000000001" customHeight="1" x14ac:dyDescent="0.25">
      <c r="B16" s="30" t="s">
        <v>198</v>
      </c>
      <c r="C16" s="151">
        <f>SUM(C10:E15)</f>
        <v>0</v>
      </c>
      <c r="D16" s="152"/>
      <c r="E16" s="153"/>
    </row>
    <row r="17" spans="2:5" ht="18.600000000000001" customHeight="1" x14ac:dyDescent="0.25">
      <c r="B17" s="31" t="s">
        <v>199</v>
      </c>
      <c r="C17" s="154">
        <f>'Section 3. Labor'!E10+'Section 4. Goods and Services'!F9+'Section 5. Capacity Building'!C9+'Section 5. Capacity Building'!C12+'Section 5. Capacity Building'!C15+'Section 6. Depreciation &amp; Amor.'!C9</f>
        <v>0</v>
      </c>
      <c r="D17" s="154"/>
      <c r="E17" s="155"/>
    </row>
    <row r="18" spans="2:5" ht="18.600000000000001" customHeight="1" thickBot="1" x14ac:dyDescent="0.3">
      <c r="B18" s="32" t="s">
        <v>200</v>
      </c>
      <c r="C18" s="146">
        <f>IFERROR(IF(((C16/C17)+'Section 5. Capacity Building'!C17)&gt;1,1,((C16/C17)+'Section 5. Capacity Building'!C17)),0)</f>
        <v>0</v>
      </c>
      <c r="D18" s="146"/>
      <c r="E18" s="147"/>
    </row>
    <row r="19" spans="2:5" x14ac:dyDescent="0.25">
      <c r="B19" s="7"/>
      <c r="C19" s="1"/>
      <c r="D19" s="1"/>
      <c r="E19" s="1"/>
    </row>
    <row r="20" spans="2:5" x14ac:dyDescent="0.25">
      <c r="B20" s="1" t="s">
        <v>201</v>
      </c>
      <c r="D20" s="6"/>
      <c r="E20" s="6"/>
    </row>
    <row r="21" spans="2:5" x14ac:dyDescent="0.25">
      <c r="B21" s="1" t="s">
        <v>202</v>
      </c>
      <c r="D21" s="6"/>
      <c r="E21" s="6"/>
    </row>
    <row r="26" spans="2:5" x14ac:dyDescent="0.25">
      <c r="C26" s="10"/>
    </row>
    <row r="27" spans="2:5" x14ac:dyDescent="0.25">
      <c r="C27" s="10"/>
    </row>
    <row r="28" spans="2:5" x14ac:dyDescent="0.25">
      <c r="C28" s="10"/>
    </row>
    <row r="29" spans="2:5" x14ac:dyDescent="0.25">
      <c r="C29" s="10"/>
    </row>
    <row r="30" spans="2:5" x14ac:dyDescent="0.25">
      <c r="C30" s="10"/>
    </row>
    <row r="31" spans="2:5" x14ac:dyDescent="0.25">
      <c r="C31" s="10"/>
    </row>
    <row r="32" spans="2:5" x14ac:dyDescent="0.25">
      <c r="C32" s="10"/>
    </row>
    <row r="33" spans="3:3" x14ac:dyDescent="0.25">
      <c r="C33" s="10"/>
    </row>
    <row r="34" spans="3:3" x14ac:dyDescent="0.25">
      <c r="C34" s="10"/>
    </row>
    <row r="35" spans="3:3" x14ac:dyDescent="0.25">
      <c r="C35" s="10"/>
    </row>
    <row r="36" spans="3:3" x14ac:dyDescent="0.25">
      <c r="C36" s="10"/>
    </row>
    <row r="37" spans="3:3" x14ac:dyDescent="0.25">
      <c r="C37" s="10"/>
    </row>
    <row r="38" spans="3:3" x14ac:dyDescent="0.25">
      <c r="C38" s="10"/>
    </row>
    <row r="39" spans="3:3" x14ac:dyDescent="0.25">
      <c r="C39" s="10"/>
    </row>
    <row r="40" spans="3:3" x14ac:dyDescent="0.25">
      <c r="C40" s="10"/>
    </row>
    <row r="41" spans="3:3" x14ac:dyDescent="0.25">
      <c r="C41" s="10"/>
    </row>
    <row r="42" spans="3:3" x14ac:dyDescent="0.25">
      <c r="C42" s="10"/>
    </row>
    <row r="43" spans="3:3" x14ac:dyDescent="0.25">
      <c r="C43" s="10"/>
    </row>
    <row r="44" spans="3:3" x14ac:dyDescent="0.25">
      <c r="C44" s="10"/>
    </row>
  </sheetData>
  <sheetProtection algorithmName="SHA-512" hashValue="Iwe7lEvsqm8eOX99TsCOrpcqmznSi18xSM6fvXnbXNoxOJ4WXPcNK68anjwgIVwmw0pe0fBlkv6zlUomh8zgZQ==" saltValue="2vbbFSA30xCOSD1efLqrQA==" spinCount="100000" sheet="1" objects="1" scenarios="1"/>
  <mergeCells count="16">
    <mergeCell ref="C9:E9"/>
    <mergeCell ref="B8:E8"/>
    <mergeCell ref="C10:E10"/>
    <mergeCell ref="C11:E11"/>
    <mergeCell ref="C18:E18"/>
    <mergeCell ref="C12:E12"/>
    <mergeCell ref="C13:E13"/>
    <mergeCell ref="C14:E14"/>
    <mergeCell ref="C15:E15"/>
    <mergeCell ref="C16:E16"/>
    <mergeCell ref="C17:E17"/>
    <mergeCell ref="B2:E2"/>
    <mergeCell ref="C3:E3"/>
    <mergeCell ref="C4:E4"/>
    <mergeCell ref="C5:E5"/>
    <mergeCell ref="C6:E6"/>
  </mergeCells>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autoPageBreaks="0"/>
  </sheetPr>
  <dimension ref="B1:S16"/>
  <sheetViews>
    <sheetView showGridLines="0" zoomScale="70" zoomScaleNormal="70" workbookViewId="0">
      <selection activeCell="B11" sqref="B11"/>
    </sheetView>
  </sheetViews>
  <sheetFormatPr defaultColWidth="8.85546875" defaultRowHeight="15" x14ac:dyDescent="0.25"/>
  <cols>
    <col min="1" max="1" width="4.42578125" style="1" customWidth="1"/>
    <col min="2" max="2" width="64.5703125" style="1" customWidth="1"/>
    <col min="3" max="5" width="28.140625" style="1" customWidth="1"/>
    <col min="6" max="6" width="4.85546875" style="1" customWidth="1"/>
    <col min="7" max="7" width="29.85546875" style="1" customWidth="1"/>
    <col min="8" max="9" width="26" style="1" customWidth="1"/>
    <col min="10" max="16384" width="8.85546875" style="1"/>
  </cols>
  <sheetData>
    <row r="1" spans="2:19" ht="28.5" x14ac:dyDescent="0.25">
      <c r="B1" s="11" t="s">
        <v>54</v>
      </c>
    </row>
    <row r="2" spans="2:19" ht="23.1" customHeight="1" x14ac:dyDescent="0.25">
      <c r="B2" s="127" t="s">
        <v>60</v>
      </c>
      <c r="C2" s="127"/>
      <c r="D2" s="127"/>
      <c r="E2" s="127"/>
    </row>
    <row r="3" spans="2:19" ht="17.100000000000001" customHeight="1" x14ac:dyDescent="0.25">
      <c r="B3" s="27" t="s">
        <v>55</v>
      </c>
      <c r="C3" s="156" t="str">
        <f>IF('Section 1. General Information'!$C$9:$D$9="","",'Section 1. General Information'!$C$9:$D$9)</f>
        <v/>
      </c>
      <c r="D3" s="157"/>
      <c r="E3" s="158"/>
    </row>
    <row r="4" spans="2:19" ht="17.100000000000001" customHeight="1" x14ac:dyDescent="0.25">
      <c r="B4" s="27" t="str">
        <f>'Section 1. General Information'!$B$4</f>
        <v>Tender Name</v>
      </c>
      <c r="C4" s="156" t="str">
        <f>IF('Section 1. General Information'!$C$4:$D$4="","",'Section 1. General Information'!$C$4:$D$4)</f>
        <v/>
      </c>
      <c r="D4" s="157"/>
      <c r="E4" s="158"/>
    </row>
    <row r="5" spans="2:19" ht="17.100000000000001" customHeight="1" x14ac:dyDescent="0.25">
      <c r="B5" s="26" t="s">
        <v>51</v>
      </c>
      <c r="C5" s="159" t="str">
        <f>IF('Section 1. General Information'!$C$5:$D$5="","",'Section 1. General Information'!$C$5:$D$5)</f>
        <v/>
      </c>
      <c r="D5" s="160"/>
      <c r="E5" s="161"/>
    </row>
    <row r="6" spans="2:19" ht="17.100000000000001" customHeight="1" x14ac:dyDescent="0.25">
      <c r="B6" s="26" t="s">
        <v>175</v>
      </c>
      <c r="C6" s="159" t="str">
        <f>IF('Section 1. General Information'!$C$6:$D$6="","",'Section 1. General Information'!$C$6:$D$6)</f>
        <v/>
      </c>
      <c r="D6" s="160"/>
      <c r="E6" s="161"/>
    </row>
    <row r="7" spans="2:19" ht="14.45" customHeight="1" x14ac:dyDescent="0.25"/>
    <row r="8" spans="2:19" ht="23.1" customHeight="1" x14ac:dyDescent="0.25">
      <c r="B8" s="33" t="s">
        <v>203</v>
      </c>
      <c r="C8" s="34"/>
      <c r="D8" s="33"/>
      <c r="E8" s="33"/>
    </row>
    <row r="9" spans="2:19" ht="36.6" customHeight="1" x14ac:dyDescent="0.25">
      <c r="B9" s="35"/>
      <c r="C9" s="36" t="s">
        <v>204</v>
      </c>
      <c r="D9" s="36" t="s">
        <v>205</v>
      </c>
      <c r="E9" s="36" t="s">
        <v>206</v>
      </c>
      <c r="G9" s="122"/>
      <c r="H9" s="122"/>
      <c r="I9" s="122"/>
      <c r="J9" s="122"/>
      <c r="K9" s="122"/>
      <c r="L9" s="122"/>
      <c r="M9" s="122"/>
      <c r="N9" s="122"/>
      <c r="O9" s="122"/>
      <c r="P9" s="122"/>
      <c r="Q9" s="122"/>
      <c r="R9" s="122"/>
      <c r="S9" s="122"/>
    </row>
    <row r="10" spans="2:19" ht="15" customHeight="1" x14ac:dyDescent="0.25">
      <c r="B10" s="35" t="s">
        <v>207</v>
      </c>
      <c r="C10" s="17">
        <v>0</v>
      </c>
      <c r="D10" s="17">
        <v>0</v>
      </c>
      <c r="E10" s="37">
        <f>SUM(C10:D10)</f>
        <v>0</v>
      </c>
      <c r="G10" s="122"/>
      <c r="H10" s="122"/>
      <c r="I10" s="122"/>
      <c r="J10" s="122"/>
      <c r="K10" s="122"/>
      <c r="L10" s="122"/>
      <c r="M10" s="122"/>
      <c r="N10" s="122"/>
      <c r="O10" s="122"/>
      <c r="P10" s="122"/>
      <c r="Q10" s="122"/>
      <c r="R10" s="122"/>
      <c r="S10" s="122"/>
    </row>
    <row r="11" spans="2:19" ht="14.45" customHeight="1" x14ac:dyDescent="0.25">
      <c r="B11" s="27" t="s">
        <v>5</v>
      </c>
      <c r="C11" s="38">
        <v>1</v>
      </c>
      <c r="D11" s="81">
        <v>0.53400000000000003</v>
      </c>
      <c r="E11" s="38">
        <f>IFERROR(E12/E10,0)</f>
        <v>0</v>
      </c>
      <c r="G11" s="122"/>
      <c r="H11" s="122"/>
      <c r="I11" s="122"/>
      <c r="J11" s="122"/>
      <c r="K11" s="122"/>
      <c r="L11" s="122"/>
      <c r="M11" s="122"/>
      <c r="N11" s="122"/>
      <c r="O11" s="122"/>
      <c r="P11" s="122"/>
      <c r="Q11" s="122"/>
      <c r="R11" s="122"/>
      <c r="S11" s="122"/>
    </row>
    <row r="12" spans="2:19" ht="14.45" customHeight="1" x14ac:dyDescent="0.25">
      <c r="B12" s="27" t="s">
        <v>6</v>
      </c>
      <c r="C12" s="39">
        <f>C10*C11</f>
        <v>0</v>
      </c>
      <c r="D12" s="39">
        <f>D10*D11</f>
        <v>0</v>
      </c>
      <c r="E12" s="39">
        <f>SUM(C12:D12)</f>
        <v>0</v>
      </c>
      <c r="G12" s="122"/>
      <c r="H12" s="122"/>
      <c r="I12" s="122"/>
      <c r="J12" s="122"/>
      <c r="K12" s="122"/>
      <c r="L12" s="122"/>
      <c r="M12" s="122"/>
      <c r="N12" s="122"/>
      <c r="O12" s="122"/>
      <c r="P12" s="122"/>
      <c r="Q12" s="122"/>
      <c r="R12" s="122"/>
      <c r="S12" s="122"/>
    </row>
    <row r="13" spans="2:19" ht="14.45" customHeight="1" x14ac:dyDescent="0.25"/>
    <row r="14" spans="2:19" x14ac:dyDescent="0.25">
      <c r="B14" s="1" t="s">
        <v>208</v>
      </c>
    </row>
    <row r="15" spans="2:19" x14ac:dyDescent="0.25">
      <c r="B15" s="1" t="s">
        <v>209</v>
      </c>
    </row>
    <row r="16" spans="2:19" x14ac:dyDescent="0.25">
      <c r="B16" s="1" t="s">
        <v>210</v>
      </c>
    </row>
  </sheetData>
  <sheetProtection algorithmName="SHA-512" hashValue="pJhSwLYJTBHNwM2FBGtYBCKfBKnWOxmhi22vMSOixJ79IsWVsyIsgHUSHfX/IuHH0HyIawvC4wrQof9RFnGslg==" saltValue="R0pe/vAoxcQfFcgLNx/MuQ==" spinCount="100000" sheet="1" objects="1" scenarios="1"/>
  <mergeCells count="6">
    <mergeCell ref="G9:S12"/>
    <mergeCell ref="B2:E2"/>
    <mergeCell ref="C3:E3"/>
    <mergeCell ref="C4:E4"/>
    <mergeCell ref="C5:E5"/>
    <mergeCell ref="C6:E6"/>
  </mergeCells>
  <conditionalFormatting sqref="C10:E10">
    <cfRule type="expression" dxfId="0" priority="1" stopIfTrue="1">
      <formula>Value=Above400M</formula>
    </cfRule>
  </conditionalFormatting>
  <dataValidations disablePrompts="1" count="1">
    <dataValidation type="decimal" operator="greaterThanOrEqual" allowBlank="1" showInputMessage="1" showErrorMessage="1" sqref="C10:D10" xr:uid="{00000000-0002-0000-0300-000000000000}">
      <formula1>0</formula1>
    </dataValidation>
  </dataValidations>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autoPageBreaks="0"/>
  </sheetPr>
  <dimension ref="A1:AB61"/>
  <sheetViews>
    <sheetView showGridLines="0" topLeftCell="A5" zoomScale="70" zoomScaleNormal="70" workbookViewId="0">
      <selection activeCell="B64" sqref="B64"/>
    </sheetView>
  </sheetViews>
  <sheetFormatPr defaultColWidth="8.85546875" defaultRowHeight="15" x14ac:dyDescent="0.25"/>
  <cols>
    <col min="1" max="1" width="4.42578125" customWidth="1"/>
    <col min="2" max="2" width="64.5703125" customWidth="1"/>
    <col min="3" max="3" width="14.42578125" customWidth="1"/>
    <col min="4" max="4" width="10.140625" customWidth="1"/>
    <col min="5" max="5" width="25.42578125" customWidth="1"/>
    <col min="6" max="6" width="34.140625" bestFit="1" customWidth="1"/>
    <col min="7" max="8" width="22.140625" customWidth="1"/>
    <col min="9" max="9" width="29.85546875" customWidth="1"/>
    <col min="10" max="10" width="17.42578125" customWidth="1"/>
    <col min="11" max="11" width="14.85546875" customWidth="1"/>
    <col min="12" max="12" width="13.5703125" customWidth="1"/>
    <col min="13" max="13" width="24" customWidth="1"/>
    <col min="14" max="14" width="23.5703125" customWidth="1"/>
  </cols>
  <sheetData>
    <row r="1" spans="1:28" ht="28.5" x14ac:dyDescent="0.45">
      <c r="B1" s="5" t="s">
        <v>7</v>
      </c>
    </row>
    <row r="2" spans="1:28" ht="21" x14ac:dyDescent="0.25">
      <c r="B2" s="127" t="s">
        <v>59</v>
      </c>
      <c r="C2" s="127"/>
      <c r="D2" s="127"/>
      <c r="E2" s="127"/>
    </row>
    <row r="3" spans="1:28" ht="14.45" customHeight="1" x14ac:dyDescent="0.25">
      <c r="B3" s="27" t="s">
        <v>55</v>
      </c>
      <c r="C3" s="134" t="str">
        <f>IF('Section 1. General Information'!$C$9:$D$9="","",'Section 1. General Information'!$C$9:$D$9)</f>
        <v/>
      </c>
      <c r="D3" s="135"/>
      <c r="E3" s="136"/>
    </row>
    <row r="4" spans="1:28" ht="14.45" customHeight="1" x14ac:dyDescent="0.25">
      <c r="B4" s="27" t="str">
        <f>'Section 1. General Information'!$B$4</f>
        <v>Tender Name</v>
      </c>
      <c r="C4" s="175" t="str">
        <f>IF('Section 1. General Information'!$C$4:$D$4="","",'Section 1. General Information'!$C$4:$D$4)</f>
        <v/>
      </c>
      <c r="D4" s="176"/>
      <c r="E4" s="177"/>
    </row>
    <row r="5" spans="1:28" ht="14.45" customHeight="1" x14ac:dyDescent="0.25">
      <c r="B5" s="26" t="s">
        <v>51</v>
      </c>
      <c r="C5" s="137" t="str">
        <f>IF('Section 1. General Information'!$C$5:$D$5="","",'Section 1. General Information'!$C$5:$D$5)</f>
        <v/>
      </c>
      <c r="D5" s="138"/>
      <c r="E5" s="139"/>
    </row>
    <row r="6" spans="1:28" ht="14.45" customHeight="1" x14ac:dyDescent="0.25">
      <c r="B6" s="26" t="s">
        <v>175</v>
      </c>
      <c r="C6" s="137" t="str">
        <f>IF('Section 1. General Information'!$C$6:$D$6="","",'Section 1. General Information'!$C$6:$D$6)</f>
        <v/>
      </c>
      <c r="D6" s="138"/>
      <c r="E6" s="139"/>
    </row>
    <row r="7" spans="1:28" ht="14.45" customHeight="1" x14ac:dyDescent="0.25">
      <c r="B7" s="1"/>
      <c r="C7" s="1"/>
      <c r="D7" s="1"/>
      <c r="E7" s="1"/>
      <c r="F7" s="1"/>
      <c r="G7" s="1"/>
      <c r="H7" s="1"/>
      <c r="N7" s="1"/>
    </row>
    <row r="8" spans="1:28" s="1" customFormat="1" ht="21" x14ac:dyDescent="0.25">
      <c r="B8" s="33" t="s">
        <v>211</v>
      </c>
      <c r="C8" s="33"/>
      <c r="D8" s="33"/>
      <c r="E8" s="34"/>
      <c r="F8" s="33"/>
      <c r="G8" s="75"/>
      <c r="H8" s="75"/>
      <c r="P8" s="4"/>
    </row>
    <row r="9" spans="1:28" ht="16.350000000000001" customHeight="1" x14ac:dyDescent="0.25">
      <c r="B9" s="169" t="s">
        <v>144</v>
      </c>
      <c r="C9" s="170"/>
      <c r="D9" s="170"/>
      <c r="E9" s="171"/>
      <c r="F9" s="18">
        <v>0</v>
      </c>
      <c r="G9" s="74"/>
      <c r="H9" s="74"/>
      <c r="N9" s="1"/>
      <c r="P9" s="168"/>
      <c r="Q9" s="168"/>
      <c r="R9" s="168"/>
      <c r="S9" s="168"/>
      <c r="T9" s="168"/>
      <c r="U9" s="168"/>
      <c r="V9" s="168"/>
      <c r="W9" s="168"/>
      <c r="X9" s="168"/>
      <c r="Y9" s="168"/>
      <c r="Z9" s="168"/>
      <c r="AA9" s="168"/>
      <c r="AB9" s="168"/>
    </row>
    <row r="10" spans="1:28" ht="16.350000000000001" customHeight="1" x14ac:dyDescent="0.25">
      <c r="B10" s="169" t="s">
        <v>145</v>
      </c>
      <c r="C10" s="170"/>
      <c r="D10" s="170"/>
      <c r="E10" s="171"/>
      <c r="F10" s="40">
        <f>N55</f>
        <v>0</v>
      </c>
      <c r="G10" s="76"/>
      <c r="H10" s="76"/>
      <c r="N10" s="1"/>
      <c r="P10" s="168"/>
      <c r="Q10" s="168"/>
      <c r="R10" s="168"/>
      <c r="S10" s="168"/>
      <c r="T10" s="168"/>
      <c r="U10" s="168"/>
      <c r="V10" s="168"/>
      <c r="W10" s="168"/>
      <c r="X10" s="168"/>
      <c r="Y10" s="168"/>
      <c r="Z10" s="168"/>
      <c r="AA10" s="168"/>
      <c r="AB10" s="168"/>
    </row>
    <row r="11" spans="1:28" ht="14.45" customHeight="1" x14ac:dyDescent="0.25">
      <c r="B11" s="1"/>
      <c r="C11" s="1"/>
      <c r="D11" s="1"/>
      <c r="E11" s="1"/>
      <c r="F11" s="1"/>
      <c r="G11" s="1"/>
      <c r="H11" s="1"/>
      <c r="I11" s="1"/>
      <c r="J11" s="1"/>
      <c r="K11" s="1"/>
      <c r="L11" s="1"/>
      <c r="M11" s="1"/>
      <c r="N11" s="1"/>
    </row>
    <row r="12" spans="1:28" s="1" customFormat="1" ht="21" customHeight="1" x14ac:dyDescent="0.25">
      <c r="B12" s="33" t="s">
        <v>212</v>
      </c>
      <c r="C12" s="33"/>
      <c r="D12" s="33"/>
      <c r="E12" s="34"/>
      <c r="F12" s="34"/>
      <c r="G12" s="34"/>
      <c r="H12" s="34"/>
      <c r="I12" s="33"/>
      <c r="J12" s="33"/>
      <c r="K12" s="33"/>
      <c r="L12" s="33"/>
      <c r="M12" s="33"/>
      <c r="N12" s="33"/>
    </row>
    <row r="13" spans="1:28" ht="45" customHeight="1" x14ac:dyDescent="0.25">
      <c r="B13" s="172" t="s">
        <v>219</v>
      </c>
      <c r="C13" s="173"/>
      <c r="D13" s="174"/>
      <c r="E13" s="36" t="s">
        <v>213</v>
      </c>
      <c r="F13" s="36" t="s">
        <v>214</v>
      </c>
      <c r="G13" s="36" t="s">
        <v>139</v>
      </c>
      <c r="H13" s="36" t="s">
        <v>140</v>
      </c>
      <c r="I13" s="36" t="s">
        <v>215</v>
      </c>
      <c r="J13" s="36" t="s">
        <v>216</v>
      </c>
      <c r="K13" s="36" t="s">
        <v>146</v>
      </c>
      <c r="L13" s="36" t="s">
        <v>20</v>
      </c>
      <c r="M13" s="36" t="s">
        <v>217</v>
      </c>
      <c r="N13" s="36" t="s">
        <v>218</v>
      </c>
      <c r="P13" s="168"/>
      <c r="Q13" s="168"/>
      <c r="R13" s="168"/>
      <c r="S13" s="168"/>
      <c r="T13" s="168"/>
      <c r="U13" s="168"/>
      <c r="V13" s="168"/>
      <c r="W13" s="168"/>
      <c r="X13" s="168"/>
      <c r="Y13" s="168"/>
      <c r="Z13" s="168"/>
      <c r="AA13" s="168"/>
      <c r="AB13" s="168"/>
    </row>
    <row r="14" spans="1:28" x14ac:dyDescent="0.25">
      <c r="A14" s="8">
        <v>1</v>
      </c>
      <c r="B14" s="165"/>
      <c r="C14" s="166"/>
      <c r="D14" s="167"/>
      <c r="E14" s="13"/>
      <c r="F14" s="13"/>
      <c r="G14" s="13"/>
      <c r="H14" s="13"/>
      <c r="I14" s="13"/>
      <c r="J14" s="14"/>
      <c r="K14" s="41">
        <f>IFERROR(INDEX('Appendix A'!$C$5:$C$42,MATCH('Section 4. Goods and Services'!I14,'Appendix A'!$B$5:$B$42,0)),0)</f>
        <v>0</v>
      </c>
      <c r="L14" s="41">
        <f>IF(J14&lt;=0,K14,J14)</f>
        <v>0</v>
      </c>
      <c r="M14" s="18">
        <v>0</v>
      </c>
      <c r="N14" s="42">
        <f>M14*L14</f>
        <v>0</v>
      </c>
      <c r="P14" s="168"/>
      <c r="Q14" s="168"/>
      <c r="R14" s="168"/>
      <c r="S14" s="168"/>
      <c r="T14" s="168"/>
      <c r="U14" s="168"/>
      <c r="V14" s="168"/>
      <c r="W14" s="168"/>
      <c r="X14" s="168"/>
      <c r="Y14" s="168"/>
      <c r="Z14" s="168"/>
      <c r="AA14" s="168"/>
      <c r="AB14" s="168"/>
    </row>
    <row r="15" spans="1:28" x14ac:dyDescent="0.25">
      <c r="A15" s="8">
        <f>A14+1</f>
        <v>2</v>
      </c>
      <c r="B15" s="165"/>
      <c r="C15" s="166"/>
      <c r="D15" s="167"/>
      <c r="E15" s="13"/>
      <c r="F15" s="13"/>
      <c r="G15" s="13"/>
      <c r="H15" s="13"/>
      <c r="I15" s="13"/>
      <c r="J15" s="14"/>
      <c r="K15" s="41">
        <f>IFERROR(INDEX('Appendix A'!$C$5:$C$42,MATCH('Section 4. Goods and Services'!I15,'Appendix A'!$B$5:$B$42,0)),0)</f>
        <v>0</v>
      </c>
      <c r="L15" s="41">
        <f t="shared" ref="L15:L53" si="0">IF(J15&lt;=0,K15,J15)</f>
        <v>0</v>
      </c>
      <c r="M15" s="18">
        <v>0</v>
      </c>
      <c r="N15" s="42">
        <f t="shared" ref="N15:N54" si="1">M15*L15</f>
        <v>0</v>
      </c>
      <c r="P15" s="168"/>
      <c r="Q15" s="168"/>
      <c r="R15" s="168"/>
      <c r="S15" s="168"/>
      <c r="T15" s="168"/>
      <c r="U15" s="168"/>
      <c r="V15" s="168"/>
      <c r="W15" s="168"/>
      <c r="X15" s="168"/>
      <c r="Y15" s="168"/>
      <c r="Z15" s="168"/>
      <c r="AA15" s="168"/>
      <c r="AB15" s="168"/>
    </row>
    <row r="16" spans="1:28" x14ac:dyDescent="0.25">
      <c r="A16" s="8">
        <f t="shared" ref="A16:A53" si="2">A15+1</f>
        <v>3</v>
      </c>
      <c r="B16" s="165"/>
      <c r="C16" s="166"/>
      <c r="D16" s="167"/>
      <c r="E16" s="13"/>
      <c r="F16" s="13"/>
      <c r="G16" s="13"/>
      <c r="H16" s="13"/>
      <c r="I16" s="13"/>
      <c r="J16" s="14"/>
      <c r="K16" s="41">
        <f>IFERROR(INDEX('Appendix A'!$C$5:$C$42,MATCH('Section 4. Goods and Services'!I16,'Appendix A'!$B$5:$B$42,0)),0)</f>
        <v>0</v>
      </c>
      <c r="L16" s="41">
        <f t="shared" si="0"/>
        <v>0</v>
      </c>
      <c r="M16" s="18">
        <v>0</v>
      </c>
      <c r="N16" s="42">
        <f t="shared" si="1"/>
        <v>0</v>
      </c>
      <c r="P16" s="168"/>
      <c r="Q16" s="168"/>
      <c r="R16" s="168"/>
      <c r="S16" s="168"/>
      <c r="T16" s="168"/>
      <c r="U16" s="168"/>
      <c r="V16" s="168"/>
      <c r="W16" s="168"/>
      <c r="X16" s="168"/>
      <c r="Y16" s="168"/>
      <c r="Z16" s="168"/>
      <c r="AA16" s="168"/>
      <c r="AB16" s="168"/>
    </row>
    <row r="17" spans="1:28" x14ac:dyDescent="0.25">
      <c r="A17" s="8">
        <f t="shared" si="2"/>
        <v>4</v>
      </c>
      <c r="B17" s="165"/>
      <c r="C17" s="166"/>
      <c r="D17" s="167"/>
      <c r="E17" s="13"/>
      <c r="F17" s="13"/>
      <c r="G17" s="13"/>
      <c r="H17" s="13"/>
      <c r="I17" s="13"/>
      <c r="J17" s="14"/>
      <c r="K17" s="41">
        <f>IFERROR(INDEX('Appendix A'!$C$5:$C$42,MATCH('Section 4. Goods and Services'!I17,'Appendix A'!$B$5:$B$42,0)),0)</f>
        <v>0</v>
      </c>
      <c r="L17" s="41">
        <f t="shared" si="0"/>
        <v>0</v>
      </c>
      <c r="M17" s="18">
        <v>0</v>
      </c>
      <c r="N17" s="42">
        <f t="shared" si="1"/>
        <v>0</v>
      </c>
      <c r="P17" s="168"/>
      <c r="Q17" s="168"/>
      <c r="R17" s="168"/>
      <c r="S17" s="168"/>
      <c r="T17" s="168"/>
      <c r="U17" s="168"/>
      <c r="V17" s="168"/>
      <c r="W17" s="168"/>
      <c r="X17" s="168"/>
      <c r="Y17" s="168"/>
      <c r="Z17" s="168"/>
      <c r="AA17" s="168"/>
      <c r="AB17" s="168"/>
    </row>
    <row r="18" spans="1:28" x14ac:dyDescent="0.25">
      <c r="A18" s="8">
        <f t="shared" si="2"/>
        <v>5</v>
      </c>
      <c r="B18" s="165"/>
      <c r="C18" s="166"/>
      <c r="D18" s="167"/>
      <c r="E18" s="13"/>
      <c r="F18" s="13"/>
      <c r="G18" s="13"/>
      <c r="H18" s="13"/>
      <c r="I18" s="13"/>
      <c r="J18" s="14"/>
      <c r="K18" s="41">
        <f>IFERROR(INDEX('Appendix A'!$C$5:$C$42,MATCH('Section 4. Goods and Services'!I18,'Appendix A'!$B$5:$B$42,0)),0)</f>
        <v>0</v>
      </c>
      <c r="L18" s="41">
        <f t="shared" si="0"/>
        <v>0</v>
      </c>
      <c r="M18" s="18">
        <v>0</v>
      </c>
      <c r="N18" s="42">
        <f t="shared" si="1"/>
        <v>0</v>
      </c>
      <c r="P18" s="168"/>
      <c r="Q18" s="168"/>
      <c r="R18" s="168"/>
      <c r="S18" s="168"/>
      <c r="T18" s="168"/>
      <c r="U18" s="168"/>
      <c r="V18" s="168"/>
      <c r="W18" s="168"/>
      <c r="X18" s="168"/>
      <c r="Y18" s="168"/>
      <c r="Z18" s="168"/>
      <c r="AA18" s="168"/>
      <c r="AB18" s="168"/>
    </row>
    <row r="19" spans="1:28" x14ac:dyDescent="0.25">
      <c r="A19" s="8">
        <f t="shared" si="2"/>
        <v>6</v>
      </c>
      <c r="B19" s="165"/>
      <c r="C19" s="166"/>
      <c r="D19" s="167"/>
      <c r="E19" s="13"/>
      <c r="F19" s="13"/>
      <c r="G19" s="13"/>
      <c r="H19" s="13"/>
      <c r="I19" s="13"/>
      <c r="J19" s="14"/>
      <c r="K19" s="41">
        <f>IFERROR(INDEX('Appendix A'!$C$5:$C$42,MATCH('Section 4. Goods and Services'!I19,'Appendix A'!$B$5:$B$42,0)),0)</f>
        <v>0</v>
      </c>
      <c r="L19" s="41">
        <f t="shared" si="0"/>
        <v>0</v>
      </c>
      <c r="M19" s="18">
        <v>0</v>
      </c>
      <c r="N19" s="42">
        <f t="shared" si="1"/>
        <v>0</v>
      </c>
      <c r="P19" s="168"/>
      <c r="Q19" s="168"/>
      <c r="R19" s="168"/>
      <c r="S19" s="168"/>
      <c r="T19" s="168"/>
      <c r="U19" s="168"/>
      <c r="V19" s="168"/>
      <c r="W19" s="168"/>
      <c r="X19" s="168"/>
      <c r="Y19" s="168"/>
      <c r="Z19" s="168"/>
      <c r="AA19" s="168"/>
      <c r="AB19" s="168"/>
    </row>
    <row r="20" spans="1:28" x14ac:dyDescent="0.25">
      <c r="A20" s="8">
        <f t="shared" si="2"/>
        <v>7</v>
      </c>
      <c r="B20" s="165"/>
      <c r="C20" s="166"/>
      <c r="D20" s="167"/>
      <c r="E20" s="13"/>
      <c r="F20" s="13"/>
      <c r="G20" s="13"/>
      <c r="H20" s="13"/>
      <c r="I20" s="13"/>
      <c r="J20" s="14"/>
      <c r="K20" s="41">
        <f>IFERROR(INDEX('Appendix A'!$C$5:$C$42,MATCH('Section 4. Goods and Services'!I20,'Appendix A'!$B$5:$B$42,0)),0)</f>
        <v>0</v>
      </c>
      <c r="L20" s="41">
        <f t="shared" si="0"/>
        <v>0</v>
      </c>
      <c r="M20" s="18">
        <v>0</v>
      </c>
      <c r="N20" s="42">
        <f t="shared" si="1"/>
        <v>0</v>
      </c>
      <c r="P20" s="168"/>
      <c r="Q20" s="168"/>
      <c r="R20" s="168"/>
      <c r="S20" s="168"/>
      <c r="T20" s="168"/>
      <c r="U20" s="168"/>
      <c r="V20" s="168"/>
      <c r="W20" s="168"/>
      <c r="X20" s="168"/>
      <c r="Y20" s="168"/>
      <c r="Z20" s="168"/>
      <c r="AA20" s="168"/>
      <c r="AB20" s="168"/>
    </row>
    <row r="21" spans="1:28" x14ac:dyDescent="0.25">
      <c r="A21" s="8">
        <f t="shared" si="2"/>
        <v>8</v>
      </c>
      <c r="B21" s="165"/>
      <c r="C21" s="166"/>
      <c r="D21" s="167"/>
      <c r="E21" s="13"/>
      <c r="F21" s="13"/>
      <c r="G21" s="13"/>
      <c r="H21" s="13"/>
      <c r="I21" s="13"/>
      <c r="J21" s="14"/>
      <c r="K21" s="41">
        <f>IFERROR(INDEX('Appendix A'!$C$5:$C$42,MATCH('Section 4. Goods and Services'!I21,'Appendix A'!$B$5:$B$42,0)),0)</f>
        <v>0</v>
      </c>
      <c r="L21" s="41">
        <f t="shared" si="0"/>
        <v>0</v>
      </c>
      <c r="M21" s="18">
        <v>0</v>
      </c>
      <c r="N21" s="42">
        <f t="shared" si="1"/>
        <v>0</v>
      </c>
      <c r="P21" s="168"/>
      <c r="Q21" s="168"/>
      <c r="R21" s="168"/>
      <c r="S21" s="168"/>
      <c r="T21" s="168"/>
      <c r="U21" s="168"/>
      <c r="V21" s="168"/>
      <c r="W21" s="168"/>
      <c r="X21" s="168"/>
      <c r="Y21" s="168"/>
      <c r="Z21" s="168"/>
      <c r="AA21" s="168"/>
      <c r="AB21" s="168"/>
    </row>
    <row r="22" spans="1:28" x14ac:dyDescent="0.25">
      <c r="A22" s="8">
        <f t="shared" si="2"/>
        <v>9</v>
      </c>
      <c r="B22" s="165"/>
      <c r="C22" s="166"/>
      <c r="D22" s="167"/>
      <c r="E22" s="13"/>
      <c r="F22" s="13"/>
      <c r="G22" s="13"/>
      <c r="H22" s="13"/>
      <c r="I22" s="13"/>
      <c r="J22" s="14"/>
      <c r="K22" s="41">
        <f>IFERROR(INDEX('Appendix A'!$C$5:$C$42,MATCH('Section 4. Goods and Services'!I22,'Appendix A'!$B$5:$B$42,0)),0)</f>
        <v>0</v>
      </c>
      <c r="L22" s="41">
        <f t="shared" si="0"/>
        <v>0</v>
      </c>
      <c r="M22" s="18">
        <v>0</v>
      </c>
      <c r="N22" s="42">
        <f t="shared" si="1"/>
        <v>0</v>
      </c>
      <c r="P22" s="168"/>
      <c r="Q22" s="168"/>
      <c r="R22" s="168"/>
      <c r="S22" s="168"/>
      <c r="T22" s="168"/>
      <c r="U22" s="168"/>
      <c r="V22" s="168"/>
      <c r="W22" s="168"/>
      <c r="X22" s="168"/>
      <c r="Y22" s="168"/>
      <c r="Z22" s="168"/>
      <c r="AA22" s="168"/>
      <c r="AB22" s="168"/>
    </row>
    <row r="23" spans="1:28" x14ac:dyDescent="0.25">
      <c r="A23" s="8">
        <f t="shared" si="2"/>
        <v>10</v>
      </c>
      <c r="B23" s="165"/>
      <c r="C23" s="166"/>
      <c r="D23" s="167"/>
      <c r="E23" s="13"/>
      <c r="F23" s="13"/>
      <c r="G23" s="13"/>
      <c r="H23" s="13"/>
      <c r="I23" s="13"/>
      <c r="J23" s="14"/>
      <c r="K23" s="41">
        <f>IFERROR(INDEX('Appendix A'!$C$5:$C$42,MATCH('Section 4. Goods and Services'!I23,'Appendix A'!$B$5:$B$42,0)),0)</f>
        <v>0</v>
      </c>
      <c r="L23" s="41">
        <f t="shared" si="0"/>
        <v>0</v>
      </c>
      <c r="M23" s="18">
        <v>0</v>
      </c>
      <c r="N23" s="42">
        <f t="shared" si="1"/>
        <v>0</v>
      </c>
      <c r="P23" s="168"/>
      <c r="Q23" s="168"/>
      <c r="R23" s="168"/>
      <c r="S23" s="168"/>
      <c r="T23" s="168"/>
      <c r="U23" s="168"/>
      <c r="V23" s="168"/>
      <c r="W23" s="168"/>
      <c r="X23" s="168"/>
      <c r="Y23" s="168"/>
      <c r="Z23" s="168"/>
      <c r="AA23" s="168"/>
      <c r="AB23" s="168"/>
    </row>
    <row r="24" spans="1:28" x14ac:dyDescent="0.25">
      <c r="A24" s="8">
        <f t="shared" si="2"/>
        <v>11</v>
      </c>
      <c r="B24" s="165"/>
      <c r="C24" s="166"/>
      <c r="D24" s="167"/>
      <c r="E24" s="13"/>
      <c r="F24" s="13"/>
      <c r="G24" s="13"/>
      <c r="H24" s="13"/>
      <c r="I24" s="13"/>
      <c r="J24" s="14"/>
      <c r="K24" s="41">
        <f>IFERROR(INDEX('Appendix A'!$C$5:$C$42,MATCH('Section 4. Goods and Services'!I24,'Appendix A'!$B$5:$B$42,0)),0)</f>
        <v>0</v>
      </c>
      <c r="L24" s="41">
        <f t="shared" si="0"/>
        <v>0</v>
      </c>
      <c r="M24" s="18">
        <v>0</v>
      </c>
      <c r="N24" s="42">
        <f t="shared" si="1"/>
        <v>0</v>
      </c>
      <c r="P24" s="168"/>
      <c r="Q24" s="168"/>
      <c r="R24" s="168"/>
      <c r="S24" s="168"/>
      <c r="T24" s="168"/>
      <c r="U24" s="168"/>
      <c r="V24" s="168"/>
      <c r="W24" s="168"/>
      <c r="X24" s="168"/>
      <c r="Y24" s="168"/>
      <c r="Z24" s="168"/>
      <c r="AA24" s="168"/>
      <c r="AB24" s="168"/>
    </row>
    <row r="25" spans="1:28" x14ac:dyDescent="0.25">
      <c r="A25" s="8">
        <f t="shared" si="2"/>
        <v>12</v>
      </c>
      <c r="B25" s="165"/>
      <c r="C25" s="166"/>
      <c r="D25" s="167"/>
      <c r="E25" s="13"/>
      <c r="F25" s="13"/>
      <c r="G25" s="13"/>
      <c r="H25" s="13"/>
      <c r="I25" s="13"/>
      <c r="J25" s="14"/>
      <c r="K25" s="41">
        <f>IFERROR(INDEX('Appendix A'!$C$5:$C$42,MATCH('Section 4. Goods and Services'!I25,'Appendix A'!$B$5:$B$42,0)),0)</f>
        <v>0</v>
      </c>
      <c r="L25" s="41">
        <f t="shared" si="0"/>
        <v>0</v>
      </c>
      <c r="M25" s="18">
        <v>0</v>
      </c>
      <c r="N25" s="42">
        <f t="shared" si="1"/>
        <v>0</v>
      </c>
      <c r="P25" s="168"/>
      <c r="Q25" s="168"/>
      <c r="R25" s="168"/>
      <c r="S25" s="168"/>
      <c r="T25" s="168"/>
      <c r="U25" s="168"/>
      <c r="V25" s="168"/>
      <c r="W25" s="168"/>
      <c r="X25" s="168"/>
      <c r="Y25" s="168"/>
      <c r="Z25" s="168"/>
      <c r="AA25" s="168"/>
      <c r="AB25" s="168"/>
    </row>
    <row r="26" spans="1:28" x14ac:dyDescent="0.25">
      <c r="A26" s="8">
        <f t="shared" si="2"/>
        <v>13</v>
      </c>
      <c r="B26" s="165"/>
      <c r="C26" s="166"/>
      <c r="D26" s="167"/>
      <c r="E26" s="13"/>
      <c r="F26" s="13"/>
      <c r="G26" s="13"/>
      <c r="H26" s="13"/>
      <c r="I26" s="13"/>
      <c r="J26" s="14"/>
      <c r="K26" s="41">
        <f>IFERROR(INDEX('Appendix A'!$C$5:$C$42,MATCH('Section 4. Goods and Services'!I26,'Appendix A'!$B$5:$B$42,0)),0)</f>
        <v>0</v>
      </c>
      <c r="L26" s="41">
        <f t="shared" si="0"/>
        <v>0</v>
      </c>
      <c r="M26" s="18">
        <v>0</v>
      </c>
      <c r="N26" s="42">
        <f t="shared" si="1"/>
        <v>0</v>
      </c>
      <c r="P26" s="168"/>
      <c r="Q26" s="168"/>
      <c r="R26" s="168"/>
      <c r="S26" s="168"/>
      <c r="T26" s="168"/>
      <c r="U26" s="168"/>
      <c r="V26" s="168"/>
      <c r="W26" s="168"/>
      <c r="X26" s="168"/>
      <c r="Y26" s="168"/>
      <c r="Z26" s="168"/>
      <c r="AA26" s="168"/>
      <c r="AB26" s="168"/>
    </row>
    <row r="27" spans="1:28" x14ac:dyDescent="0.25">
      <c r="A27" s="8">
        <f t="shared" si="2"/>
        <v>14</v>
      </c>
      <c r="B27" s="165"/>
      <c r="C27" s="166"/>
      <c r="D27" s="167"/>
      <c r="E27" s="13"/>
      <c r="F27" s="13"/>
      <c r="G27" s="13"/>
      <c r="H27" s="13"/>
      <c r="I27" s="13"/>
      <c r="J27" s="14"/>
      <c r="K27" s="41">
        <f>IFERROR(INDEX('Appendix A'!$C$5:$C$42,MATCH('Section 4. Goods and Services'!I27,'Appendix A'!$B$5:$B$42,0)),0)</f>
        <v>0</v>
      </c>
      <c r="L27" s="41">
        <f t="shared" si="0"/>
        <v>0</v>
      </c>
      <c r="M27" s="18">
        <v>0</v>
      </c>
      <c r="N27" s="42">
        <f t="shared" si="1"/>
        <v>0</v>
      </c>
      <c r="P27" s="168"/>
      <c r="Q27" s="168"/>
      <c r="R27" s="168"/>
      <c r="S27" s="168"/>
      <c r="T27" s="168"/>
      <c r="U27" s="168"/>
      <c r="V27" s="168"/>
      <c r="W27" s="168"/>
      <c r="X27" s="168"/>
      <c r="Y27" s="168"/>
      <c r="Z27" s="168"/>
      <c r="AA27" s="168"/>
      <c r="AB27" s="168"/>
    </row>
    <row r="28" spans="1:28" x14ac:dyDescent="0.25">
      <c r="A28" s="8">
        <f>A27+1</f>
        <v>15</v>
      </c>
      <c r="B28" s="165"/>
      <c r="C28" s="166"/>
      <c r="D28" s="167"/>
      <c r="E28" s="13"/>
      <c r="F28" s="13"/>
      <c r="G28" s="13"/>
      <c r="H28" s="13"/>
      <c r="I28" s="13"/>
      <c r="J28" s="14"/>
      <c r="K28" s="41">
        <f>IFERROR(INDEX('Appendix A'!$C$5:$C$42,MATCH('Section 4. Goods and Services'!I28,'Appendix A'!$B$5:$B$42,0)),0)</f>
        <v>0</v>
      </c>
      <c r="L28" s="41">
        <f t="shared" si="0"/>
        <v>0</v>
      </c>
      <c r="M28" s="18">
        <v>0</v>
      </c>
      <c r="N28" s="42">
        <f t="shared" si="1"/>
        <v>0</v>
      </c>
      <c r="P28" s="168"/>
      <c r="Q28" s="168"/>
      <c r="R28" s="168"/>
      <c r="S28" s="168"/>
      <c r="T28" s="168"/>
      <c r="U28" s="168"/>
      <c r="V28" s="168"/>
      <c r="W28" s="168"/>
      <c r="X28" s="168"/>
      <c r="Y28" s="168"/>
      <c r="Z28" s="168"/>
      <c r="AA28" s="168"/>
      <c r="AB28" s="168"/>
    </row>
    <row r="29" spans="1:28" x14ac:dyDescent="0.25">
      <c r="A29" s="8">
        <f t="shared" si="2"/>
        <v>16</v>
      </c>
      <c r="B29" s="165"/>
      <c r="C29" s="166"/>
      <c r="D29" s="167"/>
      <c r="E29" s="13"/>
      <c r="F29" s="13"/>
      <c r="G29" s="13"/>
      <c r="H29" s="13"/>
      <c r="I29" s="13"/>
      <c r="J29" s="14"/>
      <c r="K29" s="41">
        <f>IFERROR(INDEX('Appendix A'!$C$5:$C$42,MATCH('Section 4. Goods and Services'!I29,'Appendix A'!$B$5:$B$42,0)),0)</f>
        <v>0</v>
      </c>
      <c r="L29" s="41">
        <f t="shared" si="0"/>
        <v>0</v>
      </c>
      <c r="M29" s="18">
        <v>0</v>
      </c>
      <c r="N29" s="42">
        <f t="shared" si="1"/>
        <v>0</v>
      </c>
      <c r="P29" s="168"/>
      <c r="Q29" s="168"/>
      <c r="R29" s="168"/>
      <c r="S29" s="168"/>
      <c r="T29" s="168"/>
      <c r="U29" s="168"/>
      <c r="V29" s="168"/>
      <c r="W29" s="168"/>
      <c r="X29" s="168"/>
      <c r="Y29" s="168"/>
      <c r="Z29" s="168"/>
      <c r="AA29" s="168"/>
      <c r="AB29" s="168"/>
    </row>
    <row r="30" spans="1:28" x14ac:dyDescent="0.25">
      <c r="A30" s="8">
        <f t="shared" si="2"/>
        <v>17</v>
      </c>
      <c r="B30" s="165"/>
      <c r="C30" s="166"/>
      <c r="D30" s="167"/>
      <c r="E30" s="13"/>
      <c r="F30" s="13"/>
      <c r="G30" s="13"/>
      <c r="H30" s="13"/>
      <c r="I30" s="13"/>
      <c r="J30" s="14"/>
      <c r="K30" s="41">
        <f>IFERROR(INDEX('Appendix A'!$C$5:$C$42,MATCH('Section 4. Goods and Services'!I30,'Appendix A'!$B$5:$B$42,0)),0)</f>
        <v>0</v>
      </c>
      <c r="L30" s="41">
        <f t="shared" si="0"/>
        <v>0</v>
      </c>
      <c r="M30" s="18">
        <v>0</v>
      </c>
      <c r="N30" s="42">
        <f t="shared" si="1"/>
        <v>0</v>
      </c>
      <c r="P30" s="168"/>
      <c r="Q30" s="168"/>
      <c r="R30" s="168"/>
      <c r="S30" s="168"/>
      <c r="T30" s="168"/>
      <c r="U30" s="168"/>
      <c r="V30" s="168"/>
      <c r="W30" s="168"/>
      <c r="X30" s="168"/>
      <c r="Y30" s="168"/>
      <c r="Z30" s="168"/>
      <c r="AA30" s="168"/>
      <c r="AB30" s="168"/>
    </row>
    <row r="31" spans="1:28" x14ac:dyDescent="0.25">
      <c r="A31" s="8">
        <f t="shared" si="2"/>
        <v>18</v>
      </c>
      <c r="B31" s="165"/>
      <c r="C31" s="166"/>
      <c r="D31" s="167"/>
      <c r="E31" s="13"/>
      <c r="F31" s="13"/>
      <c r="G31" s="13"/>
      <c r="H31" s="13"/>
      <c r="I31" s="13"/>
      <c r="J31" s="14"/>
      <c r="K31" s="41">
        <f>IFERROR(INDEX('Appendix A'!$C$5:$C$42,MATCH('Section 4. Goods and Services'!I31,'Appendix A'!$B$5:$B$42,0)),0)</f>
        <v>0</v>
      </c>
      <c r="L31" s="41">
        <f t="shared" si="0"/>
        <v>0</v>
      </c>
      <c r="M31" s="18">
        <v>0</v>
      </c>
      <c r="N31" s="42">
        <f t="shared" si="1"/>
        <v>0</v>
      </c>
      <c r="P31" s="168"/>
      <c r="Q31" s="168"/>
      <c r="R31" s="168"/>
      <c r="S31" s="168"/>
      <c r="T31" s="168"/>
      <c r="U31" s="168"/>
      <c r="V31" s="168"/>
      <c r="W31" s="168"/>
      <c r="X31" s="168"/>
      <c r="Y31" s="168"/>
      <c r="Z31" s="168"/>
      <c r="AA31" s="168"/>
      <c r="AB31" s="168"/>
    </row>
    <row r="32" spans="1:28" x14ac:dyDescent="0.25">
      <c r="A32" s="8">
        <f t="shared" si="2"/>
        <v>19</v>
      </c>
      <c r="B32" s="165"/>
      <c r="C32" s="166"/>
      <c r="D32" s="167"/>
      <c r="E32" s="13"/>
      <c r="F32" s="13"/>
      <c r="G32" s="13"/>
      <c r="H32" s="13"/>
      <c r="I32" s="13"/>
      <c r="J32" s="14"/>
      <c r="K32" s="41">
        <f>IFERROR(INDEX('Appendix A'!$C$5:$C$42,MATCH('Section 4. Goods and Services'!I32,'Appendix A'!$B$5:$B$42,0)),0)</f>
        <v>0</v>
      </c>
      <c r="L32" s="41">
        <f t="shared" si="0"/>
        <v>0</v>
      </c>
      <c r="M32" s="18">
        <v>0</v>
      </c>
      <c r="N32" s="42">
        <f t="shared" si="1"/>
        <v>0</v>
      </c>
      <c r="P32" s="168"/>
      <c r="Q32" s="168"/>
      <c r="R32" s="168"/>
      <c r="S32" s="168"/>
      <c r="T32" s="168"/>
      <c r="U32" s="168"/>
      <c r="V32" s="168"/>
      <c r="W32" s="168"/>
      <c r="X32" s="168"/>
      <c r="Y32" s="168"/>
      <c r="Z32" s="168"/>
      <c r="AA32" s="168"/>
      <c r="AB32" s="168"/>
    </row>
    <row r="33" spans="1:28" x14ac:dyDescent="0.25">
      <c r="A33" s="8">
        <f t="shared" si="2"/>
        <v>20</v>
      </c>
      <c r="B33" s="165"/>
      <c r="C33" s="166"/>
      <c r="D33" s="167"/>
      <c r="E33" s="13"/>
      <c r="F33" s="13"/>
      <c r="G33" s="13"/>
      <c r="H33" s="13"/>
      <c r="I33" s="13"/>
      <c r="J33" s="14"/>
      <c r="K33" s="41">
        <f>IFERROR(INDEX('Appendix A'!$C$5:$C$42,MATCH('Section 4. Goods and Services'!I33,'Appendix A'!$B$5:$B$42,0)),0)</f>
        <v>0</v>
      </c>
      <c r="L33" s="41">
        <f t="shared" si="0"/>
        <v>0</v>
      </c>
      <c r="M33" s="18">
        <v>0</v>
      </c>
      <c r="N33" s="42">
        <f t="shared" si="1"/>
        <v>0</v>
      </c>
      <c r="P33" s="168"/>
      <c r="Q33" s="168"/>
      <c r="R33" s="168"/>
      <c r="S33" s="168"/>
      <c r="T33" s="168"/>
      <c r="U33" s="168"/>
      <c r="V33" s="168"/>
      <c r="W33" s="168"/>
      <c r="X33" s="168"/>
      <c r="Y33" s="168"/>
      <c r="Z33" s="168"/>
      <c r="AA33" s="168"/>
      <c r="AB33" s="168"/>
    </row>
    <row r="34" spans="1:28" x14ac:dyDescent="0.25">
      <c r="A34" s="8">
        <f t="shared" si="2"/>
        <v>21</v>
      </c>
      <c r="B34" s="165"/>
      <c r="C34" s="166"/>
      <c r="D34" s="167"/>
      <c r="E34" s="13"/>
      <c r="F34" s="13"/>
      <c r="G34" s="13"/>
      <c r="H34" s="13"/>
      <c r="I34" s="13"/>
      <c r="J34" s="14"/>
      <c r="K34" s="41">
        <f>IFERROR(INDEX('Appendix A'!$C$5:$C$42,MATCH('Section 4. Goods and Services'!I34,'Appendix A'!$B$5:$B$42,0)),0)</f>
        <v>0</v>
      </c>
      <c r="L34" s="41">
        <f t="shared" si="0"/>
        <v>0</v>
      </c>
      <c r="M34" s="18">
        <v>0</v>
      </c>
      <c r="N34" s="42">
        <f t="shared" si="1"/>
        <v>0</v>
      </c>
      <c r="P34" s="168"/>
      <c r="Q34" s="168"/>
      <c r="R34" s="168"/>
      <c r="S34" s="168"/>
      <c r="T34" s="168"/>
      <c r="U34" s="168"/>
      <c r="V34" s="168"/>
      <c r="W34" s="168"/>
      <c r="X34" s="168"/>
      <c r="Y34" s="168"/>
      <c r="Z34" s="168"/>
      <c r="AA34" s="168"/>
      <c r="AB34" s="168"/>
    </row>
    <row r="35" spans="1:28" x14ac:dyDescent="0.25">
      <c r="A35" s="8">
        <f t="shared" si="2"/>
        <v>22</v>
      </c>
      <c r="B35" s="165"/>
      <c r="C35" s="166"/>
      <c r="D35" s="167"/>
      <c r="E35" s="13"/>
      <c r="F35" s="13"/>
      <c r="G35" s="13"/>
      <c r="H35" s="13"/>
      <c r="I35" s="13"/>
      <c r="J35" s="14"/>
      <c r="K35" s="41">
        <f>IFERROR(INDEX('Appendix A'!$C$5:$C$42,MATCH('Section 4. Goods and Services'!I35,'Appendix A'!$B$5:$B$42,0)),0)</f>
        <v>0</v>
      </c>
      <c r="L35" s="41">
        <f t="shared" si="0"/>
        <v>0</v>
      </c>
      <c r="M35" s="18">
        <v>0</v>
      </c>
      <c r="N35" s="42">
        <f t="shared" si="1"/>
        <v>0</v>
      </c>
      <c r="P35" s="168"/>
      <c r="Q35" s="168"/>
      <c r="R35" s="168"/>
      <c r="S35" s="168"/>
      <c r="T35" s="168"/>
      <c r="U35" s="168"/>
      <c r="V35" s="168"/>
      <c r="W35" s="168"/>
      <c r="X35" s="168"/>
      <c r="Y35" s="168"/>
      <c r="Z35" s="168"/>
      <c r="AA35" s="168"/>
      <c r="AB35" s="168"/>
    </row>
    <row r="36" spans="1:28" x14ac:dyDescent="0.25">
      <c r="A36" s="8">
        <f t="shared" si="2"/>
        <v>23</v>
      </c>
      <c r="B36" s="165"/>
      <c r="C36" s="166"/>
      <c r="D36" s="167"/>
      <c r="E36" s="13"/>
      <c r="F36" s="13"/>
      <c r="G36" s="13"/>
      <c r="H36" s="13"/>
      <c r="I36" s="13"/>
      <c r="J36" s="14"/>
      <c r="K36" s="41">
        <f>IFERROR(INDEX('Appendix A'!$C$5:$C$42,MATCH('Section 4. Goods and Services'!I36,'Appendix A'!$B$5:$B$42,0)),0)</f>
        <v>0</v>
      </c>
      <c r="L36" s="41">
        <f t="shared" si="0"/>
        <v>0</v>
      </c>
      <c r="M36" s="18">
        <v>0</v>
      </c>
      <c r="N36" s="42">
        <f t="shared" si="1"/>
        <v>0</v>
      </c>
      <c r="P36" s="168"/>
      <c r="Q36" s="168"/>
      <c r="R36" s="168"/>
      <c r="S36" s="168"/>
      <c r="T36" s="168"/>
      <c r="U36" s="168"/>
      <c r="V36" s="168"/>
      <c r="W36" s="168"/>
      <c r="X36" s="168"/>
      <c r="Y36" s="168"/>
      <c r="Z36" s="168"/>
      <c r="AA36" s="168"/>
      <c r="AB36" s="168"/>
    </row>
    <row r="37" spans="1:28" x14ac:dyDescent="0.25">
      <c r="A37" s="8">
        <f t="shared" si="2"/>
        <v>24</v>
      </c>
      <c r="B37" s="165"/>
      <c r="C37" s="166"/>
      <c r="D37" s="167"/>
      <c r="E37" s="13"/>
      <c r="F37" s="13"/>
      <c r="G37" s="13"/>
      <c r="H37" s="13"/>
      <c r="I37" s="13"/>
      <c r="J37" s="14"/>
      <c r="K37" s="41">
        <f>IFERROR(INDEX('Appendix A'!$C$5:$C$42,MATCH('Section 4. Goods and Services'!I37,'Appendix A'!$B$5:$B$42,0)),0)</f>
        <v>0</v>
      </c>
      <c r="L37" s="41">
        <f t="shared" si="0"/>
        <v>0</v>
      </c>
      <c r="M37" s="18">
        <v>0</v>
      </c>
      <c r="N37" s="42">
        <f t="shared" si="1"/>
        <v>0</v>
      </c>
      <c r="P37" s="168"/>
      <c r="Q37" s="168"/>
      <c r="R37" s="168"/>
      <c r="S37" s="168"/>
      <c r="T37" s="168"/>
      <c r="U37" s="168"/>
      <c r="V37" s="168"/>
      <c r="W37" s="168"/>
      <c r="X37" s="168"/>
      <c r="Y37" s="168"/>
      <c r="Z37" s="168"/>
      <c r="AA37" s="168"/>
      <c r="AB37" s="168"/>
    </row>
    <row r="38" spans="1:28" x14ac:dyDescent="0.25">
      <c r="A38" s="8">
        <f t="shared" si="2"/>
        <v>25</v>
      </c>
      <c r="B38" s="165"/>
      <c r="C38" s="166"/>
      <c r="D38" s="167"/>
      <c r="E38" s="13"/>
      <c r="F38" s="13"/>
      <c r="G38" s="13"/>
      <c r="H38" s="13"/>
      <c r="I38" s="13"/>
      <c r="J38" s="14"/>
      <c r="K38" s="41">
        <f>IFERROR(INDEX('Appendix A'!$C$5:$C$42,MATCH('Section 4. Goods and Services'!I38,'Appendix A'!$B$5:$B$42,0)),0)</f>
        <v>0</v>
      </c>
      <c r="L38" s="41">
        <f t="shared" si="0"/>
        <v>0</v>
      </c>
      <c r="M38" s="18">
        <v>0</v>
      </c>
      <c r="N38" s="42">
        <f t="shared" si="1"/>
        <v>0</v>
      </c>
      <c r="P38" s="168"/>
      <c r="Q38" s="168"/>
      <c r="R38" s="168"/>
      <c r="S38" s="168"/>
      <c r="T38" s="168"/>
      <c r="U38" s="168"/>
      <c r="V38" s="168"/>
      <c r="W38" s="168"/>
      <c r="X38" s="168"/>
      <c r="Y38" s="168"/>
      <c r="Z38" s="168"/>
      <c r="AA38" s="168"/>
      <c r="AB38" s="168"/>
    </row>
    <row r="39" spans="1:28" x14ac:dyDescent="0.25">
      <c r="A39" s="8">
        <f t="shared" si="2"/>
        <v>26</v>
      </c>
      <c r="B39" s="165"/>
      <c r="C39" s="166"/>
      <c r="D39" s="167"/>
      <c r="E39" s="13"/>
      <c r="F39" s="13"/>
      <c r="G39" s="13"/>
      <c r="H39" s="13"/>
      <c r="I39" s="13"/>
      <c r="J39" s="14"/>
      <c r="K39" s="41">
        <f>IFERROR(INDEX('Appendix A'!$C$5:$C$42,MATCH('Section 4. Goods and Services'!I39,'Appendix A'!$B$5:$B$42,0)),0)</f>
        <v>0</v>
      </c>
      <c r="L39" s="41">
        <f t="shared" si="0"/>
        <v>0</v>
      </c>
      <c r="M39" s="18">
        <v>0</v>
      </c>
      <c r="N39" s="42">
        <f t="shared" si="1"/>
        <v>0</v>
      </c>
      <c r="P39" s="168"/>
      <c r="Q39" s="168"/>
      <c r="R39" s="168"/>
      <c r="S39" s="168"/>
      <c r="T39" s="168"/>
      <c r="U39" s="168"/>
      <c r="V39" s="168"/>
      <c r="W39" s="168"/>
      <c r="X39" s="168"/>
      <c r="Y39" s="168"/>
      <c r="Z39" s="168"/>
      <c r="AA39" s="168"/>
      <c r="AB39" s="168"/>
    </row>
    <row r="40" spans="1:28" x14ac:dyDescent="0.25">
      <c r="A40" s="8">
        <f t="shared" si="2"/>
        <v>27</v>
      </c>
      <c r="B40" s="165"/>
      <c r="C40" s="166"/>
      <c r="D40" s="167"/>
      <c r="E40" s="13"/>
      <c r="F40" s="13"/>
      <c r="G40" s="13"/>
      <c r="H40" s="13"/>
      <c r="I40" s="13"/>
      <c r="J40" s="14"/>
      <c r="K40" s="41">
        <f>IFERROR(INDEX('Appendix A'!$C$5:$C$42,MATCH('Section 4. Goods and Services'!I40,'Appendix A'!$B$5:$B$42,0)),0)</f>
        <v>0</v>
      </c>
      <c r="L40" s="41">
        <f t="shared" si="0"/>
        <v>0</v>
      </c>
      <c r="M40" s="18">
        <v>0</v>
      </c>
      <c r="N40" s="42">
        <f t="shared" si="1"/>
        <v>0</v>
      </c>
      <c r="P40" s="168"/>
      <c r="Q40" s="168"/>
      <c r="R40" s="168"/>
      <c r="S40" s="168"/>
      <c r="T40" s="168"/>
      <c r="U40" s="168"/>
      <c r="V40" s="168"/>
      <c r="W40" s="168"/>
      <c r="X40" s="168"/>
      <c r="Y40" s="168"/>
      <c r="Z40" s="168"/>
      <c r="AA40" s="168"/>
      <c r="AB40" s="168"/>
    </row>
    <row r="41" spans="1:28" x14ac:dyDescent="0.25">
      <c r="A41" s="8">
        <f t="shared" si="2"/>
        <v>28</v>
      </c>
      <c r="B41" s="165"/>
      <c r="C41" s="166"/>
      <c r="D41" s="167"/>
      <c r="E41" s="13"/>
      <c r="F41" s="13"/>
      <c r="G41" s="13"/>
      <c r="H41" s="13"/>
      <c r="I41" s="13"/>
      <c r="J41" s="14"/>
      <c r="K41" s="41">
        <f>IFERROR(INDEX('Appendix A'!$C$5:$C$42,MATCH('Section 4. Goods and Services'!I41,'Appendix A'!$B$5:$B$42,0)),0)</f>
        <v>0</v>
      </c>
      <c r="L41" s="41">
        <f t="shared" si="0"/>
        <v>0</v>
      </c>
      <c r="M41" s="18">
        <v>0</v>
      </c>
      <c r="N41" s="42">
        <f t="shared" si="1"/>
        <v>0</v>
      </c>
      <c r="P41" s="168"/>
      <c r="Q41" s="168"/>
      <c r="R41" s="168"/>
      <c r="S41" s="168"/>
      <c r="T41" s="168"/>
      <c r="U41" s="168"/>
      <c r="V41" s="168"/>
      <c r="W41" s="168"/>
      <c r="X41" s="168"/>
      <c r="Y41" s="168"/>
      <c r="Z41" s="168"/>
      <c r="AA41" s="168"/>
      <c r="AB41" s="168"/>
    </row>
    <row r="42" spans="1:28" x14ac:dyDescent="0.25">
      <c r="A42" s="8">
        <f t="shared" si="2"/>
        <v>29</v>
      </c>
      <c r="B42" s="165"/>
      <c r="C42" s="166"/>
      <c r="D42" s="167"/>
      <c r="E42" s="13"/>
      <c r="F42" s="13"/>
      <c r="G42" s="13"/>
      <c r="H42" s="13"/>
      <c r="I42" s="13"/>
      <c r="J42" s="14"/>
      <c r="K42" s="41">
        <f>IFERROR(INDEX('Appendix A'!$C$5:$C$42,MATCH('Section 4. Goods and Services'!I42,'Appendix A'!$B$5:$B$42,0)),0)</f>
        <v>0</v>
      </c>
      <c r="L42" s="41">
        <f t="shared" si="0"/>
        <v>0</v>
      </c>
      <c r="M42" s="18">
        <v>0</v>
      </c>
      <c r="N42" s="42">
        <f t="shared" si="1"/>
        <v>0</v>
      </c>
      <c r="P42" s="168"/>
      <c r="Q42" s="168"/>
      <c r="R42" s="168"/>
      <c r="S42" s="168"/>
      <c r="T42" s="168"/>
      <c r="U42" s="168"/>
      <c r="V42" s="168"/>
      <c r="W42" s="168"/>
      <c r="X42" s="168"/>
      <c r="Y42" s="168"/>
      <c r="Z42" s="168"/>
      <c r="AA42" s="168"/>
      <c r="AB42" s="168"/>
    </row>
    <row r="43" spans="1:28" x14ac:dyDescent="0.25">
      <c r="A43" s="8">
        <f t="shared" si="2"/>
        <v>30</v>
      </c>
      <c r="B43" s="165"/>
      <c r="C43" s="166"/>
      <c r="D43" s="167"/>
      <c r="E43" s="13"/>
      <c r="F43" s="13"/>
      <c r="G43" s="13"/>
      <c r="H43" s="13"/>
      <c r="I43" s="13"/>
      <c r="J43" s="14"/>
      <c r="K43" s="41">
        <f>IFERROR(INDEX('Appendix A'!$C$5:$C$42,MATCH('Section 4. Goods and Services'!I43,'Appendix A'!$B$5:$B$42,0)),0)</f>
        <v>0</v>
      </c>
      <c r="L43" s="41">
        <f t="shared" si="0"/>
        <v>0</v>
      </c>
      <c r="M43" s="18">
        <v>0</v>
      </c>
      <c r="N43" s="42">
        <f t="shared" si="1"/>
        <v>0</v>
      </c>
      <c r="P43" s="168"/>
      <c r="Q43" s="168"/>
      <c r="R43" s="168"/>
      <c r="S43" s="168"/>
      <c r="T43" s="168"/>
      <c r="U43" s="168"/>
      <c r="V43" s="168"/>
      <c r="W43" s="168"/>
      <c r="X43" s="168"/>
      <c r="Y43" s="168"/>
      <c r="Z43" s="168"/>
      <c r="AA43" s="168"/>
      <c r="AB43" s="168"/>
    </row>
    <row r="44" spans="1:28" x14ac:dyDescent="0.25">
      <c r="A44" s="8">
        <f t="shared" si="2"/>
        <v>31</v>
      </c>
      <c r="B44" s="165"/>
      <c r="C44" s="166"/>
      <c r="D44" s="167"/>
      <c r="E44" s="13"/>
      <c r="F44" s="13"/>
      <c r="G44" s="13"/>
      <c r="H44" s="13"/>
      <c r="I44" s="13"/>
      <c r="J44" s="14"/>
      <c r="K44" s="41">
        <f>IFERROR(INDEX('Appendix A'!$C$5:$C$42,MATCH('Section 4. Goods and Services'!I44,'Appendix A'!$B$5:$B$42,0)),0)</f>
        <v>0</v>
      </c>
      <c r="L44" s="41">
        <f t="shared" si="0"/>
        <v>0</v>
      </c>
      <c r="M44" s="18">
        <v>0</v>
      </c>
      <c r="N44" s="42">
        <f t="shared" si="1"/>
        <v>0</v>
      </c>
      <c r="P44" s="168"/>
      <c r="Q44" s="168"/>
      <c r="R44" s="168"/>
      <c r="S44" s="168"/>
      <c r="T44" s="168"/>
      <c r="U44" s="168"/>
      <c r="V44" s="168"/>
      <c r="W44" s="168"/>
      <c r="X44" s="168"/>
      <c r="Y44" s="168"/>
      <c r="Z44" s="168"/>
      <c r="AA44" s="168"/>
      <c r="AB44" s="168"/>
    </row>
    <row r="45" spans="1:28" x14ac:dyDescent="0.25">
      <c r="A45" s="8">
        <f t="shared" si="2"/>
        <v>32</v>
      </c>
      <c r="B45" s="165"/>
      <c r="C45" s="166"/>
      <c r="D45" s="167"/>
      <c r="E45" s="13"/>
      <c r="F45" s="13"/>
      <c r="G45" s="13"/>
      <c r="H45" s="13"/>
      <c r="I45" s="13"/>
      <c r="J45" s="14"/>
      <c r="K45" s="41">
        <f>IFERROR(INDEX('Appendix A'!$C$5:$C$42,MATCH('Section 4. Goods and Services'!I45,'Appendix A'!$B$5:$B$42,0)),0)</f>
        <v>0</v>
      </c>
      <c r="L45" s="41">
        <f t="shared" si="0"/>
        <v>0</v>
      </c>
      <c r="M45" s="18">
        <v>0</v>
      </c>
      <c r="N45" s="42">
        <f t="shared" si="1"/>
        <v>0</v>
      </c>
      <c r="P45" s="168"/>
      <c r="Q45" s="168"/>
      <c r="R45" s="168"/>
      <c r="S45" s="168"/>
      <c r="T45" s="168"/>
      <c r="U45" s="168"/>
      <c r="V45" s="168"/>
      <c r="W45" s="168"/>
      <c r="X45" s="168"/>
      <c r="Y45" s="168"/>
      <c r="Z45" s="168"/>
      <c r="AA45" s="168"/>
      <c r="AB45" s="168"/>
    </row>
    <row r="46" spans="1:28" x14ac:dyDescent="0.25">
      <c r="A46" s="8">
        <f t="shared" si="2"/>
        <v>33</v>
      </c>
      <c r="B46" s="165"/>
      <c r="C46" s="166"/>
      <c r="D46" s="167"/>
      <c r="E46" s="13"/>
      <c r="F46" s="13"/>
      <c r="G46" s="13"/>
      <c r="H46" s="13"/>
      <c r="I46" s="13"/>
      <c r="J46" s="14"/>
      <c r="K46" s="41">
        <f>IFERROR(INDEX('Appendix A'!$C$5:$C$42,MATCH('Section 4. Goods and Services'!I46,'Appendix A'!$B$5:$B$42,0)),0)</f>
        <v>0</v>
      </c>
      <c r="L46" s="41">
        <f t="shared" si="0"/>
        <v>0</v>
      </c>
      <c r="M46" s="18">
        <v>0</v>
      </c>
      <c r="N46" s="42">
        <f t="shared" si="1"/>
        <v>0</v>
      </c>
      <c r="P46" s="168"/>
      <c r="Q46" s="168"/>
      <c r="R46" s="168"/>
      <c r="S46" s="168"/>
      <c r="T46" s="168"/>
      <c r="U46" s="168"/>
      <c r="V46" s="168"/>
      <c r="W46" s="168"/>
      <c r="X46" s="168"/>
      <c r="Y46" s="168"/>
      <c r="Z46" s="168"/>
      <c r="AA46" s="168"/>
      <c r="AB46" s="168"/>
    </row>
    <row r="47" spans="1:28" x14ac:dyDescent="0.25">
      <c r="A47" s="8">
        <f t="shared" si="2"/>
        <v>34</v>
      </c>
      <c r="B47" s="165"/>
      <c r="C47" s="166"/>
      <c r="D47" s="167"/>
      <c r="E47" s="13"/>
      <c r="F47" s="13"/>
      <c r="G47" s="13"/>
      <c r="H47" s="13"/>
      <c r="I47" s="13"/>
      <c r="J47" s="14"/>
      <c r="K47" s="41">
        <f>IFERROR(INDEX('Appendix A'!$C$5:$C$42,MATCH('Section 4. Goods and Services'!I47,'Appendix A'!$B$5:$B$42,0)),0)</f>
        <v>0</v>
      </c>
      <c r="L47" s="41">
        <f t="shared" si="0"/>
        <v>0</v>
      </c>
      <c r="M47" s="18">
        <v>0</v>
      </c>
      <c r="N47" s="42">
        <f t="shared" si="1"/>
        <v>0</v>
      </c>
      <c r="P47" s="168"/>
      <c r="Q47" s="168"/>
      <c r="R47" s="168"/>
      <c r="S47" s="168"/>
      <c r="T47" s="168"/>
      <c r="U47" s="168"/>
      <c r="V47" s="168"/>
      <c r="W47" s="168"/>
      <c r="X47" s="168"/>
      <c r="Y47" s="168"/>
      <c r="Z47" s="168"/>
      <c r="AA47" s="168"/>
      <c r="AB47" s="168"/>
    </row>
    <row r="48" spans="1:28" x14ac:dyDescent="0.25">
      <c r="A48" s="8">
        <f t="shared" si="2"/>
        <v>35</v>
      </c>
      <c r="B48" s="165"/>
      <c r="C48" s="166"/>
      <c r="D48" s="167"/>
      <c r="E48" s="13"/>
      <c r="F48" s="13"/>
      <c r="G48" s="13"/>
      <c r="H48" s="13"/>
      <c r="I48" s="13"/>
      <c r="J48" s="14"/>
      <c r="K48" s="41">
        <f>IFERROR(INDEX('Appendix A'!$C$5:$C$42,MATCH('Section 4. Goods and Services'!I48,'Appendix A'!$B$5:$B$42,0)),0)</f>
        <v>0</v>
      </c>
      <c r="L48" s="41">
        <f t="shared" si="0"/>
        <v>0</v>
      </c>
      <c r="M48" s="18">
        <v>0</v>
      </c>
      <c r="N48" s="42">
        <f t="shared" si="1"/>
        <v>0</v>
      </c>
      <c r="P48" s="168"/>
      <c r="Q48" s="168"/>
      <c r="R48" s="168"/>
      <c r="S48" s="168"/>
      <c r="T48" s="168"/>
      <c r="U48" s="168"/>
      <c r="V48" s="168"/>
      <c r="W48" s="168"/>
      <c r="X48" s="168"/>
      <c r="Y48" s="168"/>
      <c r="Z48" s="168"/>
      <c r="AA48" s="168"/>
      <c r="AB48" s="168"/>
    </row>
    <row r="49" spans="1:28" x14ac:dyDescent="0.25">
      <c r="A49" s="8">
        <f t="shared" si="2"/>
        <v>36</v>
      </c>
      <c r="B49" s="165"/>
      <c r="C49" s="166"/>
      <c r="D49" s="167"/>
      <c r="E49" s="13"/>
      <c r="F49" s="13"/>
      <c r="G49" s="13"/>
      <c r="H49" s="13"/>
      <c r="I49" s="13"/>
      <c r="J49" s="14"/>
      <c r="K49" s="41">
        <f>IFERROR(INDEX('Appendix A'!$C$5:$C$42,MATCH('Section 4. Goods and Services'!I49,'Appendix A'!$B$5:$B$42,0)),0)</f>
        <v>0</v>
      </c>
      <c r="L49" s="41">
        <f t="shared" si="0"/>
        <v>0</v>
      </c>
      <c r="M49" s="18">
        <v>0</v>
      </c>
      <c r="N49" s="42">
        <f t="shared" si="1"/>
        <v>0</v>
      </c>
      <c r="P49" s="168"/>
      <c r="Q49" s="168"/>
      <c r="R49" s="168"/>
      <c r="S49" s="168"/>
      <c r="T49" s="168"/>
      <c r="U49" s="168"/>
      <c r="V49" s="168"/>
      <c r="W49" s="168"/>
      <c r="X49" s="168"/>
      <c r="Y49" s="168"/>
      <c r="Z49" s="168"/>
      <c r="AA49" s="168"/>
      <c r="AB49" s="168"/>
    </row>
    <row r="50" spans="1:28" x14ac:dyDescent="0.25">
      <c r="A50" s="8">
        <f t="shared" si="2"/>
        <v>37</v>
      </c>
      <c r="B50" s="165"/>
      <c r="C50" s="166"/>
      <c r="D50" s="167"/>
      <c r="E50" s="13"/>
      <c r="F50" s="13"/>
      <c r="G50" s="13"/>
      <c r="H50" s="13"/>
      <c r="I50" s="13"/>
      <c r="J50" s="14"/>
      <c r="K50" s="41">
        <f>IFERROR(INDEX('Appendix A'!$C$5:$C$42,MATCH('Section 4. Goods and Services'!I50,'Appendix A'!$B$5:$B$42,0)),0)</f>
        <v>0</v>
      </c>
      <c r="L50" s="41">
        <f t="shared" si="0"/>
        <v>0</v>
      </c>
      <c r="M50" s="18">
        <v>0</v>
      </c>
      <c r="N50" s="42">
        <f t="shared" si="1"/>
        <v>0</v>
      </c>
      <c r="P50" s="168"/>
      <c r="Q50" s="168"/>
      <c r="R50" s="168"/>
      <c r="S50" s="168"/>
      <c r="T50" s="168"/>
      <c r="U50" s="168"/>
      <c r="V50" s="168"/>
      <c r="W50" s="168"/>
      <c r="X50" s="168"/>
      <c r="Y50" s="168"/>
      <c r="Z50" s="168"/>
      <c r="AA50" s="168"/>
      <c r="AB50" s="168"/>
    </row>
    <row r="51" spans="1:28" x14ac:dyDescent="0.25">
      <c r="A51" s="8">
        <f t="shared" si="2"/>
        <v>38</v>
      </c>
      <c r="B51" s="165"/>
      <c r="C51" s="166"/>
      <c r="D51" s="167"/>
      <c r="E51" s="13"/>
      <c r="F51" s="13"/>
      <c r="G51" s="13"/>
      <c r="H51" s="13"/>
      <c r="I51" s="13"/>
      <c r="J51" s="14"/>
      <c r="K51" s="41">
        <f>IFERROR(INDEX('Appendix A'!$C$5:$C$42,MATCH('Section 4. Goods and Services'!I51,'Appendix A'!$B$5:$B$42,0)),0)</f>
        <v>0</v>
      </c>
      <c r="L51" s="41">
        <f t="shared" si="0"/>
        <v>0</v>
      </c>
      <c r="M51" s="18">
        <v>0</v>
      </c>
      <c r="N51" s="42">
        <f t="shared" si="1"/>
        <v>0</v>
      </c>
      <c r="P51" s="168"/>
      <c r="Q51" s="168"/>
      <c r="R51" s="168"/>
      <c r="S51" s="168"/>
      <c r="T51" s="168"/>
      <c r="U51" s="168"/>
      <c r="V51" s="168"/>
      <c r="W51" s="168"/>
      <c r="X51" s="168"/>
      <c r="Y51" s="168"/>
      <c r="Z51" s="168"/>
      <c r="AA51" s="168"/>
      <c r="AB51" s="168"/>
    </row>
    <row r="52" spans="1:28" x14ac:dyDescent="0.25">
      <c r="A52" s="8">
        <f t="shared" si="2"/>
        <v>39</v>
      </c>
      <c r="B52" s="165"/>
      <c r="C52" s="166"/>
      <c r="D52" s="167"/>
      <c r="E52" s="13"/>
      <c r="F52" s="13"/>
      <c r="G52" s="13"/>
      <c r="H52" s="13"/>
      <c r="I52" s="13"/>
      <c r="J52" s="14"/>
      <c r="K52" s="41">
        <f>IFERROR(INDEX('Appendix A'!$C$5:$C$42,MATCH('Section 4. Goods and Services'!I52,'Appendix A'!$B$5:$B$42,0)),0)</f>
        <v>0</v>
      </c>
      <c r="L52" s="41">
        <f t="shared" si="0"/>
        <v>0</v>
      </c>
      <c r="M52" s="18">
        <v>0</v>
      </c>
      <c r="N52" s="42">
        <f t="shared" si="1"/>
        <v>0</v>
      </c>
      <c r="P52" s="168"/>
      <c r="Q52" s="168"/>
      <c r="R52" s="168"/>
      <c r="S52" s="168"/>
      <c r="T52" s="168"/>
      <c r="U52" s="168"/>
      <c r="V52" s="168"/>
      <c r="W52" s="168"/>
      <c r="X52" s="168"/>
      <c r="Y52" s="168"/>
      <c r="Z52" s="168"/>
      <c r="AA52" s="168"/>
      <c r="AB52" s="168"/>
    </row>
    <row r="53" spans="1:28" x14ac:dyDescent="0.25">
      <c r="A53" s="8">
        <f t="shared" si="2"/>
        <v>40</v>
      </c>
      <c r="B53" s="165"/>
      <c r="C53" s="166"/>
      <c r="D53" s="167"/>
      <c r="E53" s="13"/>
      <c r="F53" s="13"/>
      <c r="G53" s="13"/>
      <c r="H53" s="13"/>
      <c r="I53" s="13"/>
      <c r="J53" s="14"/>
      <c r="K53" s="41">
        <f>IFERROR(INDEX('Appendix A'!$C$5:$C$42,MATCH('Section 4. Goods and Services'!I53,'Appendix A'!$B$5:$B$42,0)),0)</f>
        <v>0</v>
      </c>
      <c r="L53" s="41">
        <f t="shared" si="0"/>
        <v>0</v>
      </c>
      <c r="M53" s="18">
        <v>0</v>
      </c>
      <c r="N53" s="42">
        <f t="shared" si="1"/>
        <v>0</v>
      </c>
      <c r="P53" s="168"/>
      <c r="Q53" s="168"/>
      <c r="R53" s="168"/>
      <c r="S53" s="168"/>
      <c r="T53" s="168"/>
      <c r="U53" s="168"/>
      <c r="V53" s="168"/>
      <c r="W53" s="168"/>
      <c r="X53" s="168"/>
      <c r="Y53" s="168"/>
      <c r="Z53" s="168"/>
      <c r="AA53" s="168"/>
      <c r="AB53" s="168"/>
    </row>
    <row r="54" spans="1:28" x14ac:dyDescent="0.25">
      <c r="A54" s="8"/>
      <c r="B54" s="162" t="s">
        <v>102</v>
      </c>
      <c r="C54" s="163"/>
      <c r="D54" s="163"/>
      <c r="E54" s="163"/>
      <c r="F54" s="163"/>
      <c r="G54" s="163"/>
      <c r="H54" s="163"/>
      <c r="I54" s="163"/>
      <c r="J54" s="163"/>
      <c r="K54" s="164"/>
      <c r="L54" s="43">
        <f>IFERROR(SUMPRODUCT($M$14:$M$53,$L$14:$L$53)/SUM($M$14:$M$53),0)</f>
        <v>0</v>
      </c>
      <c r="M54" s="44">
        <f>F9-SUM(M14:M53)</f>
        <v>0</v>
      </c>
      <c r="N54" s="44">
        <f t="shared" si="1"/>
        <v>0</v>
      </c>
      <c r="P54" s="168"/>
      <c r="Q54" s="168"/>
      <c r="R54" s="168"/>
      <c r="S54" s="168"/>
      <c r="T54" s="168"/>
      <c r="U54" s="168"/>
      <c r="V54" s="168"/>
      <c r="W54" s="168"/>
      <c r="X54" s="168"/>
      <c r="Y54" s="168"/>
      <c r="Z54" s="168"/>
      <c r="AA54" s="168"/>
      <c r="AB54" s="168"/>
    </row>
    <row r="55" spans="1:28" x14ac:dyDescent="0.25">
      <c r="A55" s="2"/>
      <c r="B55" s="162" t="s">
        <v>103</v>
      </c>
      <c r="C55" s="163"/>
      <c r="D55" s="163"/>
      <c r="E55" s="163"/>
      <c r="F55" s="163"/>
      <c r="G55" s="163"/>
      <c r="H55" s="163"/>
      <c r="I55" s="163"/>
      <c r="J55" s="163"/>
      <c r="K55" s="163"/>
      <c r="L55" s="164"/>
      <c r="M55" s="44">
        <f>SUM(M14:M54)</f>
        <v>0</v>
      </c>
      <c r="N55" s="44">
        <f>SUM(N14:N54)</f>
        <v>0</v>
      </c>
      <c r="P55" s="168"/>
      <c r="Q55" s="168"/>
      <c r="R55" s="168"/>
      <c r="S55" s="168"/>
      <c r="T55" s="168"/>
      <c r="U55" s="168"/>
      <c r="V55" s="168"/>
      <c r="W55" s="168"/>
      <c r="X55" s="168"/>
      <c r="Y55" s="168"/>
      <c r="Z55" s="168"/>
      <c r="AA55" s="168"/>
      <c r="AB55" s="168"/>
    </row>
    <row r="56" spans="1:28" x14ac:dyDescent="0.25">
      <c r="M56" s="9"/>
    </row>
    <row r="57" spans="1:28" x14ac:dyDescent="0.25">
      <c r="B57" s="1" t="s">
        <v>220</v>
      </c>
    </row>
    <row r="58" spans="1:28" x14ac:dyDescent="0.25">
      <c r="B58" s="1" t="s">
        <v>221</v>
      </c>
    </row>
    <row r="59" spans="1:28" x14ac:dyDescent="0.25">
      <c r="B59" s="1" t="s">
        <v>222</v>
      </c>
    </row>
    <row r="60" spans="1:28" x14ac:dyDescent="0.25">
      <c r="B60" s="1" t="s">
        <v>223</v>
      </c>
    </row>
    <row r="61" spans="1:28" x14ac:dyDescent="0.25">
      <c r="B61" s="1" t="s">
        <v>224</v>
      </c>
    </row>
  </sheetData>
  <sheetProtection algorithmName="SHA-512" hashValue="cqfnRrtbNxh+DR/fcbcBtRAmIuJtjN4cK53/C3xcMc6q4GFNGSq3DoM957naMv5mlA52f+2cpcg1rx/qPFh5Bg==" saltValue="hv7/212ylQQPkpRJqyAA6A==" spinCount="100000" sheet="1" insertColumns="0" insertRows="0"/>
  <mergeCells count="52">
    <mergeCell ref="B54:K54"/>
    <mergeCell ref="B2:E2"/>
    <mergeCell ref="C3:E3"/>
    <mergeCell ref="C4:E4"/>
    <mergeCell ref="C5:E5"/>
    <mergeCell ref="C6:E6"/>
    <mergeCell ref="B38:D38"/>
    <mergeCell ref="B39:D39"/>
    <mergeCell ref="B51:D51"/>
    <mergeCell ref="B52:D52"/>
    <mergeCell ref="B53:D53"/>
    <mergeCell ref="B44:D44"/>
    <mergeCell ref="B45:D45"/>
    <mergeCell ref="B46:D46"/>
    <mergeCell ref="B47:D47"/>
    <mergeCell ref="B48:D48"/>
    <mergeCell ref="B40:D40"/>
    <mergeCell ref="B43:D43"/>
    <mergeCell ref="B41:D41"/>
    <mergeCell ref="B49:D49"/>
    <mergeCell ref="B50:D50"/>
    <mergeCell ref="B27:D27"/>
    <mergeCell ref="B28:D28"/>
    <mergeCell ref="B29:D29"/>
    <mergeCell ref="B30:D30"/>
    <mergeCell ref="B37:D37"/>
    <mergeCell ref="B32:D32"/>
    <mergeCell ref="B33:D33"/>
    <mergeCell ref="B34:D34"/>
    <mergeCell ref="B35:D35"/>
    <mergeCell ref="B36:D36"/>
    <mergeCell ref="B22:D22"/>
    <mergeCell ref="B23:D23"/>
    <mergeCell ref="B24:D24"/>
    <mergeCell ref="B25:D25"/>
    <mergeCell ref="B26:D26"/>
    <mergeCell ref="B55:L55"/>
    <mergeCell ref="B19:D19"/>
    <mergeCell ref="P9:AB10"/>
    <mergeCell ref="P13:AB55"/>
    <mergeCell ref="B9:E9"/>
    <mergeCell ref="B10:E10"/>
    <mergeCell ref="B13:D13"/>
    <mergeCell ref="B14:D14"/>
    <mergeCell ref="B15:D15"/>
    <mergeCell ref="B16:D16"/>
    <mergeCell ref="B17:D17"/>
    <mergeCell ref="B18:D18"/>
    <mergeCell ref="B42:D42"/>
    <mergeCell ref="B31:D31"/>
    <mergeCell ref="B20:D20"/>
    <mergeCell ref="B21:D21"/>
  </mergeCells>
  <dataValidations count="3">
    <dataValidation type="decimal" operator="greaterThanOrEqual" allowBlank="1" showInputMessage="1" showErrorMessage="1" sqref="M14:M53 F9:H9 J14:J53" xr:uid="{00000000-0002-0000-0400-000000000000}">
      <formula1>0</formula1>
    </dataValidation>
    <dataValidation type="list" allowBlank="1" showInputMessage="1" showErrorMessage="1" sqref="H14:H53" xr:uid="{00000000-0002-0000-0400-000001000000}">
      <formula1>"Local, Foreign"</formula1>
    </dataValidation>
    <dataValidation type="list" allowBlank="1" showInputMessage="1" showErrorMessage="1" sqref="G14:G53" xr:uid="{00000000-0002-0000-0400-000002000000}">
      <formula1>"Goods, Services"</formula1>
    </dataValidation>
  </dataValidations>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ignoredErrors>
    <ignoredError sqref="N55" evalError="1"/>
  </ignoredError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3000000}">
          <x14:formula1>
            <xm:f>IF(AND(G14="Services",H14="Local"),'Appendix A'!$B$5:$B$26,IF(AND(G14="Goods",H14="Local"),'Appendix A'!$B$28:$B$41,IF((AND(G14="Services",H14="Foreign")),'Appendix A'!$B$27,'Appendix A'!$B$42)))</xm:f>
          </x14:formula1>
          <xm:sqref>I14:I53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autoPageBreaks="0"/>
  </sheetPr>
  <dimension ref="B1:Q34"/>
  <sheetViews>
    <sheetView showGridLines="0" zoomScale="70" zoomScaleNormal="70" workbookViewId="0">
      <selection activeCell="B23" sqref="B23"/>
    </sheetView>
  </sheetViews>
  <sheetFormatPr defaultColWidth="8.85546875" defaultRowHeight="15" x14ac:dyDescent="0.25"/>
  <cols>
    <col min="1" max="1" width="4.42578125" customWidth="1"/>
    <col min="2" max="2" width="85.5703125" customWidth="1"/>
    <col min="3" max="3" width="64.85546875" customWidth="1"/>
    <col min="4" max="4" width="6.42578125" customWidth="1"/>
    <col min="5" max="10" width="14.42578125" customWidth="1"/>
  </cols>
  <sheetData>
    <row r="1" spans="2:17" ht="28.5" x14ac:dyDescent="0.45">
      <c r="B1" s="5" t="s">
        <v>8</v>
      </c>
    </row>
    <row r="2" spans="2:17" ht="21" customHeight="1" x14ac:dyDescent="0.25">
      <c r="B2" s="127" t="s">
        <v>59</v>
      </c>
      <c r="C2" s="127"/>
    </row>
    <row r="3" spans="2:17" x14ac:dyDescent="0.25">
      <c r="B3" s="26" t="s">
        <v>55</v>
      </c>
      <c r="C3" s="45" t="str">
        <f>IF('Section 1. General Information'!$C$9:$D$9="","",'Section 1. General Information'!$C$9:$D$9)</f>
        <v/>
      </c>
    </row>
    <row r="4" spans="2:17" x14ac:dyDescent="0.25">
      <c r="B4" s="26" t="str">
        <f>'Section 1. General Information'!B4</f>
        <v>Tender Name</v>
      </c>
      <c r="C4" s="46" t="str">
        <f>IF('Section 1. General Information'!$C$4:$D$4="","",'Section 1. General Information'!$C$4:$D$4)</f>
        <v/>
      </c>
    </row>
    <row r="5" spans="2:17" x14ac:dyDescent="0.25">
      <c r="B5" s="26" t="s">
        <v>51</v>
      </c>
      <c r="C5" s="47" t="str">
        <f>IF('Section 1. General Information'!$C$5:$D$5="","",'Section 1. General Information'!$C$5:$D$5)</f>
        <v/>
      </c>
    </row>
    <row r="6" spans="2:17" x14ac:dyDescent="0.25">
      <c r="B6" s="26" t="s">
        <v>175</v>
      </c>
      <c r="C6" s="47" t="str">
        <f>IF('Section 1. General Information'!$C$6:$D$6="","",'Section 1. General Information'!$C$6:$D$6)</f>
        <v/>
      </c>
    </row>
    <row r="7" spans="2:17" ht="14.45" customHeight="1" x14ac:dyDescent="0.25"/>
    <row r="8" spans="2:17" ht="21" customHeight="1" x14ac:dyDescent="0.25">
      <c r="B8" s="142" t="s">
        <v>225</v>
      </c>
      <c r="C8" s="142"/>
      <c r="E8" s="4"/>
    </row>
    <row r="9" spans="2:17" ht="22.35" customHeight="1" x14ac:dyDescent="0.25">
      <c r="B9" s="25" t="s">
        <v>226</v>
      </c>
      <c r="C9" s="17">
        <v>0</v>
      </c>
      <c r="E9" s="168"/>
      <c r="F9" s="168"/>
      <c r="G9" s="168"/>
      <c r="H9" s="168"/>
      <c r="I9" s="168"/>
      <c r="J9" s="168"/>
      <c r="K9" s="168"/>
      <c r="L9" s="168"/>
      <c r="M9" s="168"/>
      <c r="N9" s="168"/>
      <c r="O9" s="168"/>
      <c r="P9" s="168"/>
      <c r="Q9" s="168"/>
    </row>
    <row r="11" spans="2:17" s="1" customFormat="1" ht="21" customHeight="1" x14ac:dyDescent="0.25">
      <c r="B11" s="142" t="s">
        <v>227</v>
      </c>
      <c r="C11" s="142"/>
      <c r="E11" s="4"/>
    </row>
    <row r="12" spans="2:17" ht="22.35" customHeight="1" x14ac:dyDescent="0.25">
      <c r="B12" s="25" t="s">
        <v>228</v>
      </c>
      <c r="C12" s="18">
        <v>0</v>
      </c>
      <c r="E12" s="168"/>
      <c r="F12" s="168"/>
      <c r="G12" s="168"/>
      <c r="H12" s="168"/>
      <c r="I12" s="168"/>
      <c r="J12" s="168"/>
      <c r="K12" s="168"/>
      <c r="L12" s="168"/>
      <c r="M12" s="168"/>
      <c r="N12" s="168"/>
      <c r="O12" s="168"/>
      <c r="P12" s="168"/>
      <c r="Q12" s="168"/>
    </row>
    <row r="14" spans="2:17" s="1" customFormat="1" ht="21" customHeight="1" x14ac:dyDescent="0.25">
      <c r="B14" s="142" t="s">
        <v>229</v>
      </c>
      <c r="C14" s="142"/>
      <c r="E14" s="4"/>
    </row>
    <row r="15" spans="2:17" ht="22.35" customHeight="1" x14ac:dyDescent="0.25">
      <c r="B15" s="25" t="s">
        <v>230</v>
      </c>
      <c r="C15" s="18">
        <v>0</v>
      </c>
      <c r="E15" s="168"/>
      <c r="F15" s="168"/>
      <c r="G15" s="168"/>
      <c r="H15" s="168"/>
      <c r="I15" s="168"/>
      <c r="J15" s="168"/>
      <c r="K15" s="168"/>
      <c r="L15" s="168"/>
      <c r="M15" s="168"/>
      <c r="N15" s="168"/>
      <c r="O15" s="168"/>
      <c r="P15" s="168"/>
      <c r="Q15" s="168"/>
    </row>
    <row r="16" spans="2:17" ht="22.35" customHeight="1" x14ac:dyDescent="0.25">
      <c r="B16" s="25" t="s">
        <v>231</v>
      </c>
      <c r="C16" s="77">
        <v>0</v>
      </c>
      <c r="E16" s="16"/>
      <c r="F16" s="16"/>
      <c r="G16" s="16"/>
      <c r="H16" s="16"/>
      <c r="I16" s="16"/>
      <c r="J16" s="16"/>
      <c r="K16" s="16"/>
      <c r="L16" s="16"/>
      <c r="M16" s="16"/>
      <c r="N16" s="16"/>
      <c r="O16" s="16"/>
      <c r="P16" s="16"/>
      <c r="Q16" s="16"/>
    </row>
    <row r="17" spans="2:17" ht="22.35" customHeight="1" x14ac:dyDescent="0.25">
      <c r="B17" s="25" t="s">
        <v>141</v>
      </c>
      <c r="C17" s="78">
        <f>IFERROR(IF((C15/C16)&gt;=2%,10%,10%*((C15/C16)/2%)),0)</f>
        <v>0</v>
      </c>
      <c r="E17" s="16"/>
      <c r="F17" s="16"/>
      <c r="G17" s="16"/>
      <c r="H17" s="16"/>
      <c r="I17" s="16"/>
      <c r="J17" s="16"/>
      <c r="K17" s="16"/>
      <c r="L17" s="16"/>
      <c r="M17" s="16"/>
      <c r="N17" s="16"/>
      <c r="O17" s="16"/>
      <c r="P17" s="16"/>
      <c r="Q17" s="16"/>
    </row>
    <row r="19" spans="2:17" x14ac:dyDescent="0.25">
      <c r="B19" s="1" t="s">
        <v>232</v>
      </c>
      <c r="C19" s="3"/>
    </row>
    <row r="20" spans="2:17" x14ac:dyDescent="0.25">
      <c r="B20" s="1" t="s">
        <v>233</v>
      </c>
    </row>
    <row r="21" spans="2:17" x14ac:dyDescent="0.25">
      <c r="B21" s="1" t="s">
        <v>234</v>
      </c>
    </row>
    <row r="34" spans="2:3" ht="21" x14ac:dyDescent="0.35">
      <c r="B34" s="178"/>
      <c r="C34" s="178"/>
    </row>
  </sheetData>
  <sheetProtection algorithmName="SHA-512" hashValue="YaYS/PYSIj9pzk1y5JemmykQCttUNOWmyu1dxtg9Ykcf4qDxzr+n5+IN8baRQOa70lVUPHq2DtiaxWMhPS9I6Q==" saltValue="vop7y6Inq92c9qLyiyX83g==" spinCount="100000" sheet="1" objects="1" scenarios="1"/>
  <mergeCells count="8">
    <mergeCell ref="B34:C34"/>
    <mergeCell ref="B14:C14"/>
    <mergeCell ref="B11:C11"/>
    <mergeCell ref="B2:C2"/>
    <mergeCell ref="E9:Q9"/>
    <mergeCell ref="E12:Q12"/>
    <mergeCell ref="E15:Q15"/>
    <mergeCell ref="B8:C8"/>
  </mergeCells>
  <dataValidations count="1">
    <dataValidation type="decimal" operator="greaterThanOrEqual" allowBlank="1" showInputMessage="1" showErrorMessage="1" sqref="C15:C16 C12 C9" xr:uid="{00000000-0002-0000-0500-000000000000}">
      <formula1>0</formula1>
    </dataValidation>
  </dataValidations>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autoPageBreaks="0"/>
  </sheetPr>
  <dimension ref="A1:U81"/>
  <sheetViews>
    <sheetView showGridLines="0" zoomScale="70" zoomScaleNormal="70" workbookViewId="0">
      <selection activeCell="G12" sqref="G12"/>
    </sheetView>
  </sheetViews>
  <sheetFormatPr defaultColWidth="8.85546875" defaultRowHeight="15" x14ac:dyDescent="0.25"/>
  <cols>
    <col min="1" max="1" width="4.42578125" customWidth="1"/>
    <col min="2" max="2" width="114.5703125" customWidth="1"/>
    <col min="3" max="3" width="130.140625" customWidth="1"/>
    <col min="4" max="4" width="25.140625" customWidth="1"/>
    <col min="5" max="5" width="29.140625" customWidth="1"/>
    <col min="6" max="7" width="24" customWidth="1"/>
    <col min="8" max="8" width="8.85546875" customWidth="1"/>
    <col min="9" max="10" width="20.42578125" customWidth="1"/>
  </cols>
  <sheetData>
    <row r="1" spans="1:21" s="19" customFormat="1" ht="36" x14ac:dyDescent="0.55000000000000004">
      <c r="B1" s="5" t="s">
        <v>98</v>
      </c>
    </row>
    <row r="2" spans="1:21" ht="21" customHeight="1" x14ac:dyDescent="0.25">
      <c r="B2" s="127" t="s">
        <v>59</v>
      </c>
      <c r="C2" s="127"/>
      <c r="D2" s="1"/>
      <c r="E2" s="1"/>
      <c r="F2" s="1"/>
      <c r="G2" s="1"/>
    </row>
    <row r="3" spans="1:21" ht="17.100000000000001" customHeight="1" x14ac:dyDescent="0.25">
      <c r="B3" s="25" t="s">
        <v>55</v>
      </c>
      <c r="C3" s="46" t="str">
        <f>IF('Section 1. General Information'!$C$9:$D$9="","",'Section 1. General Information'!$C$9:$D$9)</f>
        <v/>
      </c>
      <c r="D3" s="1"/>
      <c r="E3" s="1"/>
      <c r="F3" s="1"/>
      <c r="G3" s="1"/>
    </row>
    <row r="4" spans="1:21" ht="17.100000000000001" customHeight="1" x14ac:dyDescent="0.25">
      <c r="B4" s="25" t="str">
        <f>'Section 1. General Information'!$B$4</f>
        <v>Tender Name</v>
      </c>
      <c r="C4" s="45" t="str">
        <f>IF('Section 1. General Information'!$C$4:$D$4="","",'Section 1. General Information'!$C$4:$D$4)</f>
        <v/>
      </c>
      <c r="D4" s="1"/>
      <c r="E4" s="1"/>
      <c r="F4" s="1"/>
      <c r="G4" s="1"/>
    </row>
    <row r="5" spans="1:21" ht="17.100000000000001" customHeight="1" x14ac:dyDescent="0.25">
      <c r="B5" s="26" t="s">
        <v>51</v>
      </c>
      <c r="C5" s="47" t="str">
        <f>IF('Section 1. General Information'!$C$5:$D$5="","",'Section 1. General Information'!$C$5:$D$5)</f>
        <v/>
      </c>
      <c r="D5" s="1"/>
      <c r="E5" s="1"/>
      <c r="F5" s="1"/>
      <c r="G5" s="1"/>
    </row>
    <row r="6" spans="1:21" ht="17.100000000000001" customHeight="1" x14ac:dyDescent="0.25">
      <c r="B6" s="26" t="s">
        <v>175</v>
      </c>
      <c r="C6" s="47" t="str">
        <f>IF('Section 1. General Information'!$C$6:$D$6="","",'Section 1. General Information'!$C$6:$D$6)</f>
        <v/>
      </c>
      <c r="D6" s="1"/>
      <c r="E6" s="1"/>
      <c r="F6" s="1"/>
      <c r="G6" s="1"/>
    </row>
    <row r="7" spans="1:21" x14ac:dyDescent="0.25">
      <c r="B7" s="1"/>
      <c r="C7" s="1"/>
      <c r="D7" s="1"/>
      <c r="E7" s="1"/>
      <c r="F7" s="1"/>
      <c r="G7" s="1"/>
    </row>
    <row r="8" spans="1:21" s="1" customFormat="1" ht="23.1" customHeight="1" x14ac:dyDescent="0.25">
      <c r="B8" s="48" t="s">
        <v>235</v>
      </c>
      <c r="C8" s="48"/>
    </row>
    <row r="9" spans="1:21" ht="26.1" customHeight="1" x14ac:dyDescent="0.25">
      <c r="B9" s="25" t="s">
        <v>236</v>
      </c>
      <c r="C9" s="20">
        <v>0</v>
      </c>
      <c r="D9" s="1"/>
      <c r="E9" s="1"/>
      <c r="F9" s="1"/>
      <c r="G9" s="1"/>
      <c r="I9" s="168"/>
      <c r="J9" s="168"/>
      <c r="K9" s="168"/>
      <c r="L9" s="168"/>
      <c r="M9" s="168"/>
      <c r="N9" s="168"/>
      <c r="O9" s="168"/>
      <c r="P9" s="168"/>
      <c r="Q9" s="168"/>
      <c r="R9" s="168"/>
      <c r="S9" s="168"/>
      <c r="T9" s="168"/>
      <c r="U9" s="168"/>
    </row>
    <row r="10" spans="1:21" x14ac:dyDescent="0.25">
      <c r="B10" s="1"/>
      <c r="C10" s="1"/>
      <c r="D10" s="1"/>
      <c r="E10" s="1"/>
      <c r="F10" s="1"/>
      <c r="G10" s="1"/>
    </row>
    <row r="11" spans="1:21" s="1" customFormat="1" ht="23.1" customHeight="1" x14ac:dyDescent="0.25">
      <c r="B11" s="181" t="s">
        <v>237</v>
      </c>
      <c r="C11" s="181"/>
      <c r="D11" s="181"/>
      <c r="E11" s="181"/>
      <c r="F11" s="181"/>
      <c r="G11" s="181"/>
    </row>
    <row r="12" spans="1:21" ht="35.1" customHeight="1" x14ac:dyDescent="0.25">
      <c r="B12" s="49" t="s">
        <v>238</v>
      </c>
      <c r="C12" s="49" t="s">
        <v>239</v>
      </c>
      <c r="D12" s="49" t="s">
        <v>104</v>
      </c>
      <c r="E12" s="49" t="s">
        <v>105</v>
      </c>
      <c r="F12" s="50" t="s">
        <v>19</v>
      </c>
      <c r="G12" s="50" t="s">
        <v>218</v>
      </c>
      <c r="I12" s="168"/>
      <c r="J12" s="168"/>
      <c r="K12" s="168"/>
      <c r="L12" s="168"/>
      <c r="M12" s="168"/>
      <c r="N12" s="168"/>
      <c r="O12" s="168"/>
      <c r="P12" s="168"/>
      <c r="Q12" s="168"/>
      <c r="R12" s="168"/>
      <c r="S12" s="168"/>
      <c r="T12" s="168"/>
      <c r="U12" s="168"/>
    </row>
    <row r="13" spans="1:21" ht="21" customHeight="1" x14ac:dyDescent="0.25">
      <c r="A13" s="8">
        <v>1</v>
      </c>
      <c r="B13" s="79" t="s">
        <v>147</v>
      </c>
      <c r="C13" s="51" t="s">
        <v>148</v>
      </c>
      <c r="D13" s="52"/>
      <c r="E13" s="17">
        <v>0</v>
      </c>
      <c r="F13" s="53">
        <v>1</v>
      </c>
      <c r="G13" s="54">
        <f t="shared" ref="G13:G23" si="0">F13*E13</f>
        <v>0</v>
      </c>
      <c r="I13" s="168"/>
      <c r="J13" s="168"/>
      <c r="K13" s="168"/>
      <c r="L13" s="168"/>
      <c r="M13" s="168"/>
      <c r="N13" s="168"/>
      <c r="O13" s="168"/>
      <c r="P13" s="168"/>
      <c r="Q13" s="168"/>
      <c r="R13" s="168"/>
      <c r="S13" s="168"/>
      <c r="T13" s="168"/>
      <c r="U13" s="168"/>
    </row>
    <row r="14" spans="1:21" ht="16.350000000000001" customHeight="1" x14ac:dyDescent="0.25">
      <c r="A14" s="8">
        <f>A13+1</f>
        <v>2</v>
      </c>
      <c r="B14" s="51" t="s">
        <v>240</v>
      </c>
      <c r="C14" s="51" t="s">
        <v>13</v>
      </c>
      <c r="D14" s="52" t="s">
        <v>9</v>
      </c>
      <c r="E14" s="17">
        <v>0</v>
      </c>
      <c r="F14" s="53">
        <v>1</v>
      </c>
      <c r="G14" s="54">
        <f t="shared" si="0"/>
        <v>0</v>
      </c>
      <c r="I14" s="168"/>
      <c r="J14" s="168"/>
      <c r="K14" s="168"/>
      <c r="L14" s="168"/>
      <c r="M14" s="168"/>
      <c r="N14" s="168"/>
      <c r="O14" s="168"/>
      <c r="P14" s="168"/>
      <c r="Q14" s="168"/>
      <c r="R14" s="168"/>
      <c r="S14" s="168"/>
      <c r="T14" s="168"/>
      <c r="U14" s="168"/>
    </row>
    <row r="15" spans="1:21" ht="16.350000000000001" customHeight="1" x14ac:dyDescent="0.25">
      <c r="A15" s="8">
        <f t="shared" ref="A15:A23" si="1">A14+1</f>
        <v>3</v>
      </c>
      <c r="B15" s="51" t="s">
        <v>241</v>
      </c>
      <c r="C15" s="51" t="s">
        <v>149</v>
      </c>
      <c r="D15" s="52" t="s">
        <v>9</v>
      </c>
      <c r="E15" s="17">
        <v>0</v>
      </c>
      <c r="F15" s="53">
        <v>1</v>
      </c>
      <c r="G15" s="54">
        <f t="shared" si="0"/>
        <v>0</v>
      </c>
      <c r="I15" s="168"/>
      <c r="J15" s="168"/>
      <c r="K15" s="168"/>
      <c r="L15" s="168"/>
      <c r="M15" s="168"/>
      <c r="N15" s="168"/>
      <c r="O15" s="168"/>
      <c r="P15" s="168"/>
      <c r="Q15" s="168"/>
      <c r="R15" s="168"/>
      <c r="S15" s="168"/>
      <c r="T15" s="168"/>
      <c r="U15" s="168"/>
    </row>
    <row r="16" spans="1:21" ht="16.350000000000001" customHeight="1" x14ac:dyDescent="0.25">
      <c r="A16" s="8">
        <f t="shared" si="1"/>
        <v>4</v>
      </c>
      <c r="B16" s="51" t="s">
        <v>242</v>
      </c>
      <c r="C16" s="51" t="s">
        <v>150</v>
      </c>
      <c r="D16" s="52" t="s">
        <v>9</v>
      </c>
      <c r="E16" s="17">
        <v>0</v>
      </c>
      <c r="F16" s="53">
        <v>1</v>
      </c>
      <c r="G16" s="54">
        <f t="shared" si="0"/>
        <v>0</v>
      </c>
      <c r="I16" s="168"/>
      <c r="J16" s="168"/>
      <c r="K16" s="168"/>
      <c r="L16" s="168"/>
      <c r="M16" s="168"/>
      <c r="N16" s="168"/>
      <c r="O16" s="168"/>
      <c r="P16" s="168"/>
      <c r="Q16" s="168"/>
      <c r="R16" s="168"/>
      <c r="S16" s="168"/>
      <c r="T16" s="168"/>
      <c r="U16" s="168"/>
    </row>
    <row r="17" spans="1:21" ht="16.350000000000001" customHeight="1" x14ac:dyDescent="0.25">
      <c r="A17" s="8">
        <f t="shared" si="1"/>
        <v>5</v>
      </c>
      <c r="B17" s="15" t="s">
        <v>12</v>
      </c>
      <c r="C17" s="15" t="s">
        <v>11</v>
      </c>
      <c r="D17" s="52" t="s">
        <v>9</v>
      </c>
      <c r="E17" s="17">
        <v>0</v>
      </c>
      <c r="F17" s="53">
        <v>1</v>
      </c>
      <c r="G17" s="54">
        <f t="shared" si="0"/>
        <v>0</v>
      </c>
      <c r="I17" s="168"/>
      <c r="J17" s="168"/>
      <c r="K17" s="168"/>
      <c r="L17" s="168"/>
      <c r="M17" s="168"/>
      <c r="N17" s="168"/>
      <c r="O17" s="168"/>
      <c r="P17" s="168"/>
      <c r="Q17" s="168"/>
      <c r="R17" s="168"/>
      <c r="S17" s="168"/>
      <c r="T17" s="168"/>
      <c r="U17" s="168"/>
    </row>
    <row r="18" spans="1:21" ht="16.350000000000001" customHeight="1" x14ac:dyDescent="0.25">
      <c r="A18" s="8">
        <f t="shared" si="1"/>
        <v>6</v>
      </c>
      <c r="B18" s="15" t="s">
        <v>12</v>
      </c>
      <c r="C18" s="15" t="s">
        <v>11</v>
      </c>
      <c r="D18" s="52" t="s">
        <v>9</v>
      </c>
      <c r="E18" s="17">
        <v>0</v>
      </c>
      <c r="F18" s="53">
        <v>1</v>
      </c>
      <c r="G18" s="54">
        <f t="shared" si="0"/>
        <v>0</v>
      </c>
      <c r="I18" s="168"/>
      <c r="J18" s="168"/>
      <c r="K18" s="168"/>
      <c r="L18" s="168"/>
      <c r="M18" s="168"/>
      <c r="N18" s="168"/>
      <c r="O18" s="168"/>
      <c r="P18" s="168"/>
      <c r="Q18" s="168"/>
      <c r="R18" s="168"/>
      <c r="S18" s="168"/>
      <c r="T18" s="168"/>
      <c r="U18" s="168"/>
    </row>
    <row r="19" spans="1:21" ht="16.350000000000001" customHeight="1" x14ac:dyDescent="0.25">
      <c r="A19" s="8">
        <f t="shared" si="1"/>
        <v>7</v>
      </c>
      <c r="B19" s="15" t="s">
        <v>12</v>
      </c>
      <c r="C19" s="15" t="s">
        <v>11</v>
      </c>
      <c r="D19" s="52" t="s">
        <v>9</v>
      </c>
      <c r="E19" s="17">
        <v>0</v>
      </c>
      <c r="F19" s="53">
        <v>1</v>
      </c>
      <c r="G19" s="54">
        <f t="shared" si="0"/>
        <v>0</v>
      </c>
      <c r="I19" s="168"/>
      <c r="J19" s="168"/>
      <c r="K19" s="168"/>
      <c r="L19" s="168"/>
      <c r="M19" s="168"/>
      <c r="N19" s="168"/>
      <c r="O19" s="168"/>
      <c r="P19" s="168"/>
      <c r="Q19" s="168"/>
      <c r="R19" s="168"/>
      <c r="S19" s="168"/>
      <c r="T19" s="168"/>
      <c r="U19" s="168"/>
    </row>
    <row r="20" spans="1:21" ht="16.350000000000001" customHeight="1" x14ac:dyDescent="0.25">
      <c r="A20" s="8">
        <f t="shared" si="1"/>
        <v>8</v>
      </c>
      <c r="B20" s="15" t="s">
        <v>12</v>
      </c>
      <c r="C20" s="15" t="s">
        <v>11</v>
      </c>
      <c r="D20" s="52" t="s">
        <v>9</v>
      </c>
      <c r="E20" s="17">
        <v>0</v>
      </c>
      <c r="F20" s="53">
        <v>1</v>
      </c>
      <c r="G20" s="54">
        <f t="shared" si="0"/>
        <v>0</v>
      </c>
      <c r="I20" s="168"/>
      <c r="J20" s="168"/>
      <c r="K20" s="168"/>
      <c r="L20" s="168"/>
      <c r="M20" s="168"/>
      <c r="N20" s="168"/>
      <c r="O20" s="168"/>
      <c r="P20" s="168"/>
      <c r="Q20" s="168"/>
      <c r="R20" s="168"/>
      <c r="S20" s="168"/>
      <c r="T20" s="168"/>
      <c r="U20" s="168"/>
    </row>
    <row r="21" spans="1:21" ht="16.350000000000001" customHeight="1" x14ac:dyDescent="0.25">
      <c r="A21" s="8">
        <f t="shared" si="1"/>
        <v>9</v>
      </c>
      <c r="B21" s="15" t="s">
        <v>12</v>
      </c>
      <c r="C21" s="15" t="s">
        <v>11</v>
      </c>
      <c r="D21" s="52" t="s">
        <v>9</v>
      </c>
      <c r="E21" s="17">
        <v>0</v>
      </c>
      <c r="F21" s="53">
        <v>1</v>
      </c>
      <c r="G21" s="54">
        <f t="shared" si="0"/>
        <v>0</v>
      </c>
      <c r="I21" s="168"/>
      <c r="J21" s="168"/>
      <c r="K21" s="168"/>
      <c r="L21" s="168"/>
      <c r="M21" s="168"/>
      <c r="N21" s="168"/>
      <c r="O21" s="168"/>
      <c r="P21" s="168"/>
      <c r="Q21" s="168"/>
      <c r="R21" s="168"/>
      <c r="S21" s="168"/>
      <c r="T21" s="168"/>
      <c r="U21" s="168"/>
    </row>
    <row r="22" spans="1:21" ht="16.350000000000001" customHeight="1" x14ac:dyDescent="0.25">
      <c r="A22" s="8">
        <f t="shared" si="1"/>
        <v>10</v>
      </c>
      <c r="B22" s="15" t="s">
        <v>12</v>
      </c>
      <c r="C22" s="15" t="s">
        <v>11</v>
      </c>
      <c r="D22" s="52" t="s">
        <v>9</v>
      </c>
      <c r="E22" s="17">
        <v>0</v>
      </c>
      <c r="F22" s="53">
        <v>1</v>
      </c>
      <c r="G22" s="54">
        <f t="shared" si="0"/>
        <v>0</v>
      </c>
      <c r="I22" s="168"/>
      <c r="J22" s="168"/>
      <c r="K22" s="168"/>
      <c r="L22" s="168"/>
      <c r="M22" s="168"/>
      <c r="N22" s="168"/>
      <c r="O22" s="168"/>
      <c r="P22" s="168"/>
      <c r="Q22" s="168"/>
      <c r="R22" s="168"/>
      <c r="S22" s="168"/>
      <c r="T22" s="168"/>
      <c r="U22" s="168"/>
    </row>
    <row r="23" spans="1:21" ht="16.350000000000001" customHeight="1" x14ac:dyDescent="0.25">
      <c r="A23" s="8">
        <f t="shared" si="1"/>
        <v>11</v>
      </c>
      <c r="B23" s="15" t="s">
        <v>12</v>
      </c>
      <c r="C23" s="15" t="s">
        <v>11</v>
      </c>
      <c r="D23" s="52" t="s">
        <v>9</v>
      </c>
      <c r="E23" s="17">
        <v>0</v>
      </c>
      <c r="F23" s="53">
        <v>1</v>
      </c>
      <c r="G23" s="54">
        <f t="shared" si="0"/>
        <v>0</v>
      </c>
      <c r="I23" s="168"/>
      <c r="J23" s="168"/>
      <c r="K23" s="168"/>
      <c r="L23" s="168"/>
      <c r="M23" s="168"/>
      <c r="N23" s="168"/>
      <c r="O23" s="168"/>
      <c r="P23" s="168"/>
      <c r="Q23" s="168"/>
      <c r="R23" s="168"/>
      <c r="S23" s="168"/>
      <c r="T23" s="168"/>
      <c r="U23" s="168"/>
    </row>
    <row r="24" spans="1:21" ht="16.350000000000001" customHeight="1" x14ac:dyDescent="0.25">
      <c r="A24" s="8"/>
      <c r="B24" s="179" t="s">
        <v>99</v>
      </c>
      <c r="C24" s="180"/>
      <c r="D24" s="52" t="s">
        <v>10</v>
      </c>
      <c r="E24" s="54">
        <f>C9-SUM(E13:E23)</f>
        <v>0</v>
      </c>
      <c r="F24" s="53">
        <v>0.3</v>
      </c>
      <c r="G24" s="54">
        <f>F24*E24</f>
        <v>0</v>
      </c>
      <c r="I24" s="168"/>
      <c r="J24" s="168"/>
      <c r="K24" s="168"/>
      <c r="L24" s="168"/>
      <c r="M24" s="168"/>
      <c r="N24" s="168"/>
      <c r="O24" s="168"/>
      <c r="P24" s="168"/>
      <c r="Q24" s="168"/>
      <c r="R24" s="168"/>
      <c r="S24" s="168"/>
      <c r="T24" s="168"/>
      <c r="U24" s="168"/>
    </row>
    <row r="25" spans="1:21" ht="16.350000000000001" customHeight="1" x14ac:dyDescent="0.25">
      <c r="B25" s="162" t="s">
        <v>100</v>
      </c>
      <c r="C25" s="164"/>
      <c r="D25" s="55"/>
      <c r="E25" s="56">
        <f>SUM(E13:E24)</f>
        <v>0</v>
      </c>
      <c r="F25" s="43">
        <f>IFERROR(SUMPRODUCT(F13:F24,E13:E24)/E25,0)</f>
        <v>0</v>
      </c>
      <c r="G25" s="56">
        <f>SUM(G13:G24)</f>
        <v>0</v>
      </c>
      <c r="I25" s="168"/>
      <c r="J25" s="168"/>
      <c r="K25" s="168"/>
      <c r="L25" s="168"/>
      <c r="M25" s="168"/>
      <c r="N25" s="168"/>
      <c r="O25" s="168"/>
      <c r="P25" s="168"/>
      <c r="Q25" s="168"/>
      <c r="R25" s="168"/>
      <c r="S25" s="168"/>
      <c r="T25" s="168"/>
      <c r="U25" s="168"/>
    </row>
    <row r="26" spans="1:21" ht="16.350000000000001" customHeight="1" x14ac:dyDescent="0.25">
      <c r="I26" s="168"/>
      <c r="J26" s="168"/>
      <c r="K26" s="168"/>
      <c r="L26" s="168"/>
      <c r="M26" s="168"/>
      <c r="N26" s="168"/>
      <c r="O26" s="168"/>
      <c r="P26" s="168"/>
      <c r="Q26" s="168"/>
      <c r="R26" s="168"/>
      <c r="S26" s="168"/>
      <c r="T26" s="168"/>
      <c r="U26" s="168"/>
    </row>
    <row r="27" spans="1:21" ht="16.350000000000001" customHeight="1" x14ac:dyDescent="0.25">
      <c r="B27" s="1" t="s">
        <v>243</v>
      </c>
      <c r="I27" s="168"/>
      <c r="J27" s="168"/>
      <c r="K27" s="168"/>
      <c r="L27" s="168"/>
      <c r="M27" s="168"/>
      <c r="N27" s="168"/>
      <c r="O27" s="168"/>
      <c r="P27" s="168"/>
      <c r="Q27" s="168"/>
      <c r="R27" s="168"/>
      <c r="S27" s="168"/>
      <c r="T27" s="168"/>
      <c r="U27" s="168"/>
    </row>
    <row r="28" spans="1:21" ht="16.350000000000001" customHeight="1" x14ac:dyDescent="0.25">
      <c r="I28" s="168"/>
      <c r="J28" s="168"/>
      <c r="K28" s="168"/>
      <c r="L28" s="168"/>
      <c r="M28" s="168"/>
      <c r="N28" s="168"/>
      <c r="O28" s="168"/>
      <c r="P28" s="168"/>
      <c r="Q28" s="168"/>
      <c r="R28" s="168"/>
      <c r="S28" s="168"/>
      <c r="T28" s="168"/>
      <c r="U28" s="168"/>
    </row>
    <row r="29" spans="1:21" ht="16.350000000000001" customHeight="1" x14ac:dyDescent="0.25">
      <c r="I29" s="168"/>
      <c r="J29" s="168"/>
      <c r="K29" s="168"/>
      <c r="L29" s="168"/>
      <c r="M29" s="168"/>
      <c r="N29" s="168"/>
      <c r="O29" s="168"/>
      <c r="P29" s="168"/>
      <c r="Q29" s="168"/>
      <c r="R29" s="168"/>
      <c r="S29" s="168"/>
      <c r="T29" s="168"/>
      <c r="U29" s="168"/>
    </row>
    <row r="30" spans="1:21" ht="16.350000000000001" customHeight="1" x14ac:dyDescent="0.25">
      <c r="I30" s="168"/>
      <c r="J30" s="168"/>
      <c r="K30" s="168"/>
      <c r="L30" s="168"/>
      <c r="M30" s="168"/>
      <c r="N30" s="168"/>
      <c r="O30" s="168"/>
      <c r="P30" s="168"/>
      <c r="Q30" s="168"/>
      <c r="R30" s="168"/>
      <c r="S30" s="168"/>
      <c r="T30" s="168"/>
      <c r="U30" s="168"/>
    </row>
    <row r="31" spans="1:21" ht="16.350000000000001" customHeight="1" x14ac:dyDescent="0.25">
      <c r="I31" s="168"/>
      <c r="J31" s="168"/>
      <c r="K31" s="168"/>
      <c r="L31" s="168"/>
      <c r="M31" s="168"/>
      <c r="N31" s="168"/>
      <c r="O31" s="168"/>
      <c r="P31" s="168"/>
      <c r="Q31" s="168"/>
      <c r="R31" s="168"/>
      <c r="S31" s="168"/>
      <c r="T31" s="168"/>
      <c r="U31" s="168"/>
    </row>
    <row r="32" spans="1:21" ht="16.350000000000001" customHeight="1" x14ac:dyDescent="0.25">
      <c r="I32" s="168"/>
      <c r="J32" s="168"/>
      <c r="K32" s="168"/>
      <c r="L32" s="168"/>
      <c r="M32" s="168"/>
      <c r="N32" s="168"/>
      <c r="O32" s="168"/>
      <c r="P32" s="168"/>
      <c r="Q32" s="168"/>
      <c r="R32" s="168"/>
      <c r="S32" s="168"/>
      <c r="T32" s="168"/>
      <c r="U32" s="168"/>
    </row>
    <row r="33" spans="1:21" ht="16.350000000000001" customHeight="1" x14ac:dyDescent="0.25">
      <c r="I33" s="168"/>
      <c r="J33" s="168"/>
      <c r="K33" s="168"/>
      <c r="L33" s="168"/>
      <c r="M33" s="168"/>
      <c r="N33" s="168"/>
      <c r="O33" s="168"/>
      <c r="P33" s="168"/>
      <c r="Q33" s="168"/>
      <c r="R33" s="168"/>
      <c r="S33" s="168"/>
      <c r="T33" s="168"/>
      <c r="U33" s="168"/>
    </row>
    <row r="34" spans="1:21" ht="16.350000000000001" customHeight="1" x14ac:dyDescent="0.25">
      <c r="I34" s="168"/>
      <c r="J34" s="168"/>
      <c r="K34" s="168"/>
      <c r="L34" s="168"/>
      <c r="M34" s="168"/>
      <c r="N34" s="168"/>
      <c r="O34" s="168"/>
      <c r="P34" s="168"/>
      <c r="Q34" s="168"/>
      <c r="R34" s="168"/>
      <c r="S34" s="168"/>
      <c r="T34" s="168"/>
      <c r="U34" s="168"/>
    </row>
    <row r="35" spans="1:21" ht="16.350000000000001" customHeight="1" x14ac:dyDescent="0.25">
      <c r="A35" s="8"/>
      <c r="I35" s="168"/>
      <c r="J35" s="168"/>
      <c r="K35" s="168"/>
      <c r="L35" s="168"/>
      <c r="M35" s="168"/>
      <c r="N35" s="168"/>
      <c r="O35" s="168"/>
      <c r="P35" s="168"/>
      <c r="Q35" s="168"/>
      <c r="R35" s="168"/>
      <c r="S35" s="168"/>
      <c r="T35" s="168"/>
      <c r="U35" s="168"/>
    </row>
    <row r="36" spans="1:21" ht="16.350000000000001" customHeight="1" x14ac:dyDescent="0.25">
      <c r="I36" s="168"/>
      <c r="J36" s="168"/>
      <c r="K36" s="168"/>
      <c r="L36" s="168"/>
      <c r="M36" s="168"/>
      <c r="N36" s="168"/>
      <c r="O36" s="168"/>
      <c r="P36" s="168"/>
      <c r="Q36" s="168"/>
      <c r="R36" s="168"/>
      <c r="S36" s="168"/>
      <c r="T36" s="168"/>
      <c r="U36" s="168"/>
    </row>
    <row r="37" spans="1:21" ht="16.350000000000001" customHeight="1" x14ac:dyDescent="0.25">
      <c r="I37" s="168"/>
      <c r="J37" s="168"/>
      <c r="K37" s="168"/>
      <c r="L37" s="168"/>
      <c r="M37" s="168"/>
      <c r="N37" s="168"/>
      <c r="O37" s="168"/>
      <c r="P37" s="168"/>
      <c r="Q37" s="168"/>
      <c r="R37" s="168"/>
      <c r="S37" s="168"/>
      <c r="T37" s="168"/>
      <c r="U37" s="168"/>
    </row>
    <row r="38" spans="1:21" ht="16.350000000000001" customHeight="1" x14ac:dyDescent="0.25">
      <c r="I38" s="168"/>
      <c r="J38" s="168"/>
      <c r="K38" s="168"/>
      <c r="L38" s="168"/>
      <c r="M38" s="168"/>
      <c r="N38" s="168"/>
      <c r="O38" s="168"/>
      <c r="P38" s="168"/>
      <c r="Q38" s="168"/>
      <c r="R38" s="168"/>
      <c r="S38" s="168"/>
      <c r="T38" s="168"/>
      <c r="U38" s="168"/>
    </row>
    <row r="39" spans="1:21" ht="16.350000000000001" customHeight="1" x14ac:dyDescent="0.25">
      <c r="I39" s="168"/>
      <c r="J39" s="168"/>
      <c r="K39" s="168"/>
      <c r="L39" s="168"/>
      <c r="M39" s="168"/>
      <c r="N39" s="168"/>
      <c r="O39" s="168"/>
      <c r="P39" s="168"/>
      <c r="Q39" s="168"/>
      <c r="R39" s="168"/>
      <c r="S39" s="168"/>
      <c r="T39" s="168"/>
      <c r="U39" s="168"/>
    </row>
    <row r="40" spans="1:21" ht="16.350000000000001" customHeight="1" x14ac:dyDescent="0.25">
      <c r="I40" s="168"/>
      <c r="J40" s="168"/>
      <c r="K40" s="168"/>
      <c r="L40" s="168"/>
      <c r="M40" s="168"/>
      <c r="N40" s="168"/>
      <c r="O40" s="168"/>
      <c r="P40" s="168"/>
      <c r="Q40" s="168"/>
      <c r="R40" s="168"/>
      <c r="S40" s="168"/>
      <c r="T40" s="168"/>
      <c r="U40" s="168"/>
    </row>
    <row r="41" spans="1:21" ht="16.350000000000001" customHeight="1" x14ac:dyDescent="0.25">
      <c r="I41" s="168"/>
      <c r="J41" s="168"/>
      <c r="K41" s="168"/>
      <c r="L41" s="168"/>
      <c r="M41" s="168"/>
      <c r="N41" s="168"/>
      <c r="O41" s="168"/>
      <c r="P41" s="168"/>
      <c r="Q41" s="168"/>
      <c r="R41" s="168"/>
      <c r="S41" s="168"/>
      <c r="T41" s="168"/>
      <c r="U41" s="168"/>
    </row>
    <row r="42" spans="1:21" ht="16.350000000000001" customHeight="1" x14ac:dyDescent="0.25">
      <c r="I42" s="168"/>
      <c r="J42" s="168"/>
      <c r="K42" s="168"/>
      <c r="L42" s="168"/>
      <c r="M42" s="168"/>
      <c r="N42" s="168"/>
      <c r="O42" s="168"/>
      <c r="P42" s="168"/>
      <c r="Q42" s="168"/>
      <c r="R42" s="168"/>
      <c r="S42" s="168"/>
      <c r="T42" s="168"/>
      <c r="U42" s="168"/>
    </row>
    <row r="43" spans="1:21" ht="16.350000000000001" customHeight="1" x14ac:dyDescent="0.25">
      <c r="I43" s="168"/>
      <c r="J43" s="168"/>
      <c r="K43" s="168"/>
      <c r="L43" s="168"/>
      <c r="M43" s="168"/>
      <c r="N43" s="168"/>
      <c r="O43" s="168"/>
      <c r="P43" s="168"/>
      <c r="Q43" s="168"/>
      <c r="R43" s="168"/>
      <c r="S43" s="168"/>
      <c r="T43" s="168"/>
      <c r="U43" s="168"/>
    </row>
    <row r="44" spans="1:21" ht="16.350000000000001" customHeight="1" x14ac:dyDescent="0.25">
      <c r="I44" s="168"/>
      <c r="J44" s="168"/>
      <c r="K44" s="168"/>
      <c r="L44" s="168"/>
      <c r="M44" s="168"/>
      <c r="N44" s="168"/>
      <c r="O44" s="168"/>
      <c r="P44" s="168"/>
      <c r="Q44" s="168"/>
      <c r="R44" s="168"/>
      <c r="S44" s="168"/>
      <c r="T44" s="168"/>
      <c r="U44" s="168"/>
    </row>
    <row r="45" spans="1:21" ht="16.350000000000001" customHeight="1" x14ac:dyDescent="0.25">
      <c r="I45" s="168"/>
      <c r="J45" s="168"/>
      <c r="K45" s="168"/>
      <c r="L45" s="168"/>
      <c r="M45" s="168"/>
      <c r="N45" s="168"/>
      <c r="O45" s="168"/>
      <c r="P45" s="168"/>
      <c r="Q45" s="168"/>
      <c r="R45" s="168"/>
      <c r="S45" s="168"/>
      <c r="T45" s="168"/>
      <c r="U45" s="168"/>
    </row>
    <row r="46" spans="1:21" ht="16.350000000000001" customHeight="1" x14ac:dyDescent="0.25">
      <c r="I46" s="168"/>
      <c r="J46" s="168"/>
      <c r="K46" s="168"/>
      <c r="L46" s="168"/>
      <c r="M46" s="168"/>
      <c r="N46" s="168"/>
      <c r="O46" s="168"/>
      <c r="P46" s="168"/>
      <c r="Q46" s="168"/>
      <c r="R46" s="168"/>
      <c r="S46" s="168"/>
      <c r="T46" s="168"/>
      <c r="U46" s="168"/>
    </row>
    <row r="47" spans="1:21" ht="16.350000000000001" customHeight="1" x14ac:dyDescent="0.25">
      <c r="I47" s="168"/>
      <c r="J47" s="168"/>
      <c r="K47" s="168"/>
      <c r="L47" s="168"/>
      <c r="M47" s="168"/>
      <c r="N47" s="168"/>
      <c r="O47" s="168"/>
      <c r="P47" s="168"/>
      <c r="Q47" s="168"/>
      <c r="R47" s="168"/>
      <c r="S47" s="168"/>
      <c r="T47" s="168"/>
      <c r="U47" s="168"/>
    </row>
    <row r="48" spans="1:21" ht="16.350000000000001" customHeight="1" x14ac:dyDescent="0.25">
      <c r="I48" s="168"/>
      <c r="J48" s="168"/>
      <c r="K48" s="168"/>
      <c r="L48" s="168"/>
      <c r="M48" s="168"/>
      <c r="N48" s="168"/>
      <c r="O48" s="168"/>
      <c r="P48" s="168"/>
      <c r="Q48" s="168"/>
      <c r="R48" s="168"/>
      <c r="S48" s="168"/>
      <c r="T48" s="168"/>
      <c r="U48" s="168"/>
    </row>
    <row r="49" spans="9:21" ht="16.350000000000001" customHeight="1" x14ac:dyDescent="0.25">
      <c r="I49" s="168"/>
      <c r="J49" s="168"/>
      <c r="K49" s="168"/>
      <c r="L49" s="168"/>
      <c r="M49" s="168"/>
      <c r="N49" s="168"/>
      <c r="O49" s="168"/>
      <c r="P49" s="168"/>
      <c r="Q49" s="168"/>
      <c r="R49" s="168"/>
      <c r="S49" s="168"/>
      <c r="T49" s="168"/>
      <c r="U49" s="168"/>
    </row>
    <row r="50" spans="9:21" ht="16.350000000000001" customHeight="1" x14ac:dyDescent="0.25">
      <c r="I50" s="168"/>
      <c r="J50" s="168"/>
      <c r="K50" s="168"/>
      <c r="L50" s="168"/>
      <c r="M50" s="168"/>
      <c r="N50" s="168"/>
      <c r="O50" s="168"/>
      <c r="P50" s="168"/>
      <c r="Q50" s="168"/>
      <c r="R50" s="168"/>
      <c r="S50" s="168"/>
      <c r="T50" s="168"/>
      <c r="U50" s="168"/>
    </row>
    <row r="51" spans="9:21" ht="16.350000000000001" customHeight="1" x14ac:dyDescent="0.25">
      <c r="I51" s="168"/>
      <c r="J51" s="168"/>
      <c r="K51" s="168"/>
      <c r="L51" s="168"/>
      <c r="M51" s="168"/>
      <c r="N51" s="168"/>
      <c r="O51" s="168"/>
      <c r="P51" s="168"/>
      <c r="Q51" s="168"/>
      <c r="R51" s="168"/>
      <c r="S51" s="168"/>
      <c r="T51" s="168"/>
      <c r="U51" s="168"/>
    </row>
    <row r="52" spans="9:21" ht="16.350000000000001" customHeight="1" x14ac:dyDescent="0.25">
      <c r="I52" s="168"/>
      <c r="J52" s="168"/>
      <c r="K52" s="168"/>
      <c r="L52" s="168"/>
      <c r="M52" s="168"/>
      <c r="N52" s="168"/>
      <c r="O52" s="168"/>
      <c r="P52" s="168"/>
      <c r="Q52" s="168"/>
      <c r="R52" s="168"/>
      <c r="S52" s="168"/>
      <c r="T52" s="168"/>
      <c r="U52" s="168"/>
    </row>
    <row r="53" spans="9:21" ht="16.350000000000001" customHeight="1" x14ac:dyDescent="0.25">
      <c r="I53" s="168"/>
      <c r="J53" s="168"/>
      <c r="K53" s="168"/>
      <c r="L53" s="168"/>
      <c r="M53" s="168"/>
      <c r="N53" s="168"/>
      <c r="O53" s="168"/>
      <c r="P53" s="168"/>
      <c r="Q53" s="168"/>
      <c r="R53" s="168"/>
      <c r="S53" s="168"/>
      <c r="T53" s="168"/>
      <c r="U53" s="168"/>
    </row>
    <row r="54" spans="9:21" ht="16.350000000000001" customHeight="1" x14ac:dyDescent="0.25">
      <c r="I54" s="168"/>
      <c r="J54" s="168"/>
      <c r="K54" s="168"/>
      <c r="L54" s="168"/>
      <c r="M54" s="168"/>
      <c r="N54" s="168"/>
      <c r="O54" s="168"/>
      <c r="P54" s="168"/>
      <c r="Q54" s="168"/>
      <c r="R54" s="168"/>
      <c r="S54" s="168"/>
      <c r="T54" s="168"/>
      <c r="U54" s="168"/>
    </row>
    <row r="55" spans="9:21" ht="16.350000000000001" customHeight="1" x14ac:dyDescent="0.25">
      <c r="I55" s="168"/>
      <c r="J55" s="168"/>
      <c r="K55" s="168"/>
      <c r="L55" s="168"/>
      <c r="M55" s="168"/>
      <c r="N55" s="168"/>
      <c r="O55" s="168"/>
      <c r="P55" s="168"/>
      <c r="Q55" s="168"/>
      <c r="R55" s="168"/>
      <c r="S55" s="168"/>
      <c r="T55" s="168"/>
      <c r="U55" s="168"/>
    </row>
    <row r="56" spans="9:21" ht="16.350000000000001" customHeight="1" x14ac:dyDescent="0.25">
      <c r="I56" s="168"/>
      <c r="J56" s="168"/>
      <c r="K56" s="168"/>
      <c r="L56" s="168"/>
      <c r="M56" s="168"/>
      <c r="N56" s="168"/>
      <c r="O56" s="168"/>
      <c r="P56" s="168"/>
      <c r="Q56" s="168"/>
      <c r="R56" s="168"/>
      <c r="S56" s="168"/>
      <c r="T56" s="168"/>
      <c r="U56" s="168"/>
    </row>
    <row r="57" spans="9:21" ht="16.350000000000001" customHeight="1" x14ac:dyDescent="0.25">
      <c r="I57" s="168"/>
      <c r="J57" s="168"/>
      <c r="K57" s="168"/>
      <c r="L57" s="168"/>
      <c r="M57" s="168"/>
      <c r="N57" s="168"/>
      <c r="O57" s="168"/>
      <c r="P57" s="168"/>
      <c r="Q57" s="168"/>
      <c r="R57" s="168"/>
      <c r="S57" s="168"/>
      <c r="T57" s="168"/>
      <c r="U57" s="168"/>
    </row>
    <row r="58" spans="9:21" ht="16.350000000000001" customHeight="1" x14ac:dyDescent="0.25">
      <c r="I58" s="168"/>
      <c r="J58" s="168"/>
      <c r="K58" s="168"/>
      <c r="L58" s="168"/>
      <c r="M58" s="168"/>
      <c r="N58" s="168"/>
      <c r="O58" s="168"/>
      <c r="P58" s="168"/>
      <c r="Q58" s="168"/>
      <c r="R58" s="168"/>
      <c r="S58" s="168"/>
      <c r="T58" s="168"/>
      <c r="U58" s="168"/>
    </row>
    <row r="59" spans="9:21" ht="16.350000000000001" customHeight="1" x14ac:dyDescent="0.25">
      <c r="I59" s="168"/>
      <c r="J59" s="168"/>
      <c r="K59" s="168"/>
      <c r="L59" s="168"/>
      <c r="M59" s="168"/>
      <c r="N59" s="168"/>
      <c r="O59" s="168"/>
      <c r="P59" s="168"/>
      <c r="Q59" s="168"/>
      <c r="R59" s="168"/>
      <c r="S59" s="168"/>
      <c r="T59" s="168"/>
      <c r="U59" s="168"/>
    </row>
    <row r="60" spans="9:21" ht="16.350000000000001" customHeight="1" x14ac:dyDescent="0.25">
      <c r="I60" s="168"/>
      <c r="J60" s="168"/>
      <c r="K60" s="168"/>
      <c r="L60" s="168"/>
      <c r="M60" s="168"/>
      <c r="N60" s="168"/>
      <c r="O60" s="168"/>
      <c r="P60" s="168"/>
      <c r="Q60" s="168"/>
      <c r="R60" s="168"/>
      <c r="S60" s="168"/>
      <c r="T60" s="168"/>
      <c r="U60" s="168"/>
    </row>
    <row r="61" spans="9:21" ht="16.350000000000001" customHeight="1" x14ac:dyDescent="0.25">
      <c r="I61" s="168"/>
      <c r="J61" s="168"/>
      <c r="K61" s="168"/>
      <c r="L61" s="168"/>
      <c r="M61" s="168"/>
      <c r="N61" s="168"/>
      <c r="O61" s="168"/>
      <c r="P61" s="168"/>
      <c r="Q61" s="168"/>
      <c r="R61" s="168"/>
      <c r="S61" s="168"/>
      <c r="T61" s="168"/>
      <c r="U61" s="168"/>
    </row>
    <row r="62" spans="9:21" ht="16.350000000000001" customHeight="1" x14ac:dyDescent="0.25">
      <c r="I62" s="168"/>
      <c r="J62" s="168"/>
      <c r="K62" s="168"/>
      <c r="L62" s="168"/>
      <c r="M62" s="168"/>
      <c r="N62" s="168"/>
      <c r="O62" s="168"/>
      <c r="P62" s="168"/>
      <c r="Q62" s="168"/>
      <c r="R62" s="168"/>
      <c r="S62" s="168"/>
      <c r="T62" s="168"/>
      <c r="U62" s="168"/>
    </row>
    <row r="63" spans="9:21" ht="16.350000000000001" customHeight="1" x14ac:dyDescent="0.25">
      <c r="I63" s="168"/>
      <c r="J63" s="168"/>
      <c r="K63" s="168"/>
      <c r="L63" s="168"/>
      <c r="M63" s="168"/>
      <c r="N63" s="168"/>
      <c r="O63" s="168"/>
      <c r="P63" s="168"/>
      <c r="Q63" s="168"/>
      <c r="R63" s="168"/>
      <c r="S63" s="168"/>
      <c r="T63" s="168"/>
      <c r="U63" s="168"/>
    </row>
    <row r="64" spans="9:21" ht="16.350000000000001" customHeight="1" x14ac:dyDescent="0.25">
      <c r="I64" s="168"/>
      <c r="J64" s="168"/>
      <c r="K64" s="168"/>
      <c r="L64" s="168"/>
      <c r="M64" s="168"/>
      <c r="N64" s="168"/>
      <c r="O64" s="168"/>
      <c r="P64" s="168"/>
      <c r="Q64" s="168"/>
      <c r="R64" s="168"/>
      <c r="S64" s="168"/>
      <c r="T64" s="168"/>
      <c r="U64" s="168"/>
    </row>
    <row r="65" ht="17.100000000000001" customHeight="1" x14ac:dyDescent="0.25"/>
    <row r="66" ht="17.100000000000001" customHeight="1" x14ac:dyDescent="0.25"/>
    <row r="67" ht="17.100000000000001" customHeight="1" x14ac:dyDescent="0.25"/>
    <row r="68" ht="17.100000000000001" customHeight="1" x14ac:dyDescent="0.25"/>
    <row r="69" ht="17.100000000000001" customHeight="1" x14ac:dyDescent="0.25"/>
    <row r="70" ht="17.100000000000001" customHeight="1" x14ac:dyDescent="0.25"/>
    <row r="71" ht="17.100000000000001" customHeight="1" x14ac:dyDescent="0.25"/>
    <row r="72" ht="17.100000000000001" customHeight="1" x14ac:dyDescent="0.25"/>
    <row r="73" ht="17.100000000000001" customHeight="1" x14ac:dyDescent="0.25"/>
    <row r="74" ht="17.100000000000001" customHeight="1" x14ac:dyDescent="0.25"/>
    <row r="75" ht="17.100000000000001" customHeight="1" x14ac:dyDescent="0.25"/>
    <row r="76" ht="17.100000000000001" customHeight="1" x14ac:dyDescent="0.25"/>
    <row r="77" ht="17.100000000000001" customHeight="1" x14ac:dyDescent="0.25"/>
    <row r="78" ht="17.100000000000001" customHeight="1" x14ac:dyDescent="0.25"/>
    <row r="79" ht="17.100000000000001" customHeight="1" x14ac:dyDescent="0.25"/>
    <row r="80" ht="17.100000000000001" customHeight="1" x14ac:dyDescent="0.25"/>
    <row r="81" ht="17.100000000000001" customHeight="1" x14ac:dyDescent="0.25"/>
  </sheetData>
  <sheetProtection algorithmName="SHA-512" hashValue="6Iu9zp1q1DW4+5HX5Ly9nxGMy7jOGlc0GHkFoPhDLpGLxbJH9t8hhX43u9dpkzlrT5g9D0C8eA1hQME9Il1H3g==" saltValue="Vw3m7M9mcK60rQdyt8ON6w==" spinCount="100000" sheet="1" insertColumns="0" insertRows="0"/>
  <mergeCells count="6">
    <mergeCell ref="B24:C24"/>
    <mergeCell ref="B25:C25"/>
    <mergeCell ref="B2:C2"/>
    <mergeCell ref="I12:U64"/>
    <mergeCell ref="B11:G11"/>
    <mergeCell ref="I9:U9"/>
  </mergeCells>
  <dataValidations count="1">
    <dataValidation type="decimal" operator="greaterThan" allowBlank="1" showInputMessage="1" showErrorMessage="1" sqref="E13:E23" xr:uid="{00000000-0002-0000-0600-000000000000}">
      <formula1>-1</formula1>
    </dataValidation>
  </dataValidations>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pageSetUpPr autoPageBreaks="0" fitToPage="1"/>
  </sheetPr>
  <dimension ref="B1:G43"/>
  <sheetViews>
    <sheetView showGridLines="0" topLeftCell="A26" zoomScale="60" zoomScaleNormal="60" workbookViewId="0">
      <selection activeCell="B38" sqref="B38"/>
    </sheetView>
  </sheetViews>
  <sheetFormatPr defaultColWidth="8.85546875" defaultRowHeight="15" x14ac:dyDescent="0.25"/>
  <cols>
    <col min="1" max="1" width="5.140625" customWidth="1"/>
    <col min="2" max="2" width="104" bestFit="1" customWidth="1"/>
    <col min="3" max="3" width="13.42578125" customWidth="1"/>
    <col min="4" max="4" width="249.42578125" customWidth="1"/>
    <col min="5" max="5" width="52.42578125" customWidth="1"/>
    <col min="6" max="15" width="11.5703125" customWidth="1"/>
  </cols>
  <sheetData>
    <row r="1" spans="2:5" ht="28.5" x14ac:dyDescent="0.45">
      <c r="B1" s="5" t="s">
        <v>56</v>
      </c>
    </row>
    <row r="2" spans="2:5" ht="18" customHeight="1" x14ac:dyDescent="0.35">
      <c r="B2" s="57" t="s">
        <v>30</v>
      </c>
      <c r="C2" s="57"/>
      <c r="D2" s="58"/>
      <c r="E2" s="59"/>
    </row>
    <row r="3" spans="2:5" ht="21" x14ac:dyDescent="0.35">
      <c r="B3" s="60" t="s">
        <v>61</v>
      </c>
      <c r="C3" s="61"/>
      <c r="D3" s="62"/>
      <c r="E3" s="59"/>
    </row>
    <row r="4" spans="2:5" ht="30" x14ac:dyDescent="0.25">
      <c r="B4" s="63" t="s">
        <v>29</v>
      </c>
      <c r="C4" s="49" t="s">
        <v>4</v>
      </c>
      <c r="D4" s="49" t="s">
        <v>0</v>
      </c>
      <c r="E4" s="64" t="s">
        <v>244</v>
      </c>
    </row>
    <row r="5" spans="2:5" x14ac:dyDescent="0.25">
      <c r="B5" s="65" t="s">
        <v>151</v>
      </c>
      <c r="C5" s="41">
        <v>0.6</v>
      </c>
      <c r="D5" s="66" t="s">
        <v>158</v>
      </c>
      <c r="E5" s="67" t="s">
        <v>161</v>
      </c>
    </row>
    <row r="6" spans="2:5" x14ac:dyDescent="0.25">
      <c r="B6" s="65" t="s">
        <v>106</v>
      </c>
      <c r="C6" s="41">
        <v>0.4</v>
      </c>
      <c r="D6" s="66" t="s">
        <v>46</v>
      </c>
      <c r="E6" s="67">
        <v>56</v>
      </c>
    </row>
    <row r="7" spans="2:5" x14ac:dyDescent="0.25">
      <c r="B7" s="65" t="s">
        <v>107</v>
      </c>
      <c r="C7" s="41">
        <v>0.36</v>
      </c>
      <c r="D7" s="66" t="s">
        <v>159</v>
      </c>
      <c r="E7" s="67" t="s">
        <v>162</v>
      </c>
    </row>
    <row r="8" spans="2:5" x14ac:dyDescent="0.25">
      <c r="B8" s="65" t="s">
        <v>108</v>
      </c>
      <c r="C8" s="41">
        <v>0.82</v>
      </c>
      <c r="D8" s="66" t="s">
        <v>62</v>
      </c>
      <c r="E8" s="67" t="s">
        <v>63</v>
      </c>
    </row>
    <row r="9" spans="2:5" x14ac:dyDescent="0.25">
      <c r="B9" s="65" t="s">
        <v>109</v>
      </c>
      <c r="C9" s="41">
        <v>0.5</v>
      </c>
      <c r="D9" s="66" t="s">
        <v>64</v>
      </c>
      <c r="E9" s="67" t="s">
        <v>65</v>
      </c>
    </row>
    <row r="10" spans="2:5" x14ac:dyDescent="0.25">
      <c r="B10" s="65" t="s">
        <v>110</v>
      </c>
      <c r="C10" s="41">
        <v>0.2</v>
      </c>
      <c r="D10" s="66" t="s">
        <v>66</v>
      </c>
      <c r="E10" s="67" t="s">
        <v>65</v>
      </c>
    </row>
    <row r="11" spans="2:5" x14ac:dyDescent="0.25">
      <c r="B11" s="65" t="s">
        <v>111</v>
      </c>
      <c r="C11" s="41">
        <v>0.48</v>
      </c>
      <c r="D11" s="66" t="s">
        <v>67</v>
      </c>
      <c r="E11" s="67" t="s">
        <v>68</v>
      </c>
    </row>
    <row r="12" spans="2:5" x14ac:dyDescent="0.25">
      <c r="B12" s="65" t="s">
        <v>112</v>
      </c>
      <c r="C12" s="41">
        <v>0.4</v>
      </c>
      <c r="D12" s="66" t="s">
        <v>69</v>
      </c>
      <c r="E12" s="67" t="s">
        <v>70</v>
      </c>
    </row>
    <row r="13" spans="2:5" x14ac:dyDescent="0.25">
      <c r="B13" s="65" t="s">
        <v>113</v>
      </c>
      <c r="C13" s="41">
        <v>0.66</v>
      </c>
      <c r="D13" s="66" t="s">
        <v>71</v>
      </c>
      <c r="E13" s="67" t="s">
        <v>72</v>
      </c>
    </row>
    <row r="14" spans="2:5" x14ac:dyDescent="0.25">
      <c r="B14" s="65" t="s">
        <v>114</v>
      </c>
      <c r="C14" s="41">
        <v>0.75</v>
      </c>
      <c r="D14" s="66" t="s">
        <v>73</v>
      </c>
      <c r="E14" s="67" t="s">
        <v>74</v>
      </c>
    </row>
    <row r="15" spans="2:5" x14ac:dyDescent="0.25">
      <c r="B15" s="68" t="s">
        <v>115</v>
      </c>
      <c r="C15" s="41">
        <v>0.38</v>
      </c>
      <c r="D15" s="69" t="s">
        <v>32</v>
      </c>
      <c r="E15" s="67" t="s">
        <v>75</v>
      </c>
    </row>
    <row r="16" spans="2:5" x14ac:dyDescent="0.25">
      <c r="B16" s="65" t="s">
        <v>116</v>
      </c>
      <c r="C16" s="41">
        <v>0.69</v>
      </c>
      <c r="D16" s="66" t="s">
        <v>247</v>
      </c>
      <c r="E16" s="67" t="s">
        <v>76</v>
      </c>
    </row>
    <row r="17" spans="2:7" ht="15.6" customHeight="1" x14ac:dyDescent="0.25">
      <c r="B17" s="70" t="s">
        <v>117</v>
      </c>
      <c r="C17" s="80">
        <v>0.45</v>
      </c>
      <c r="D17" s="71" t="s">
        <v>77</v>
      </c>
      <c r="E17" s="67" t="s">
        <v>78</v>
      </c>
    </row>
    <row r="18" spans="2:7" x14ac:dyDescent="0.25">
      <c r="B18" s="65" t="s">
        <v>118</v>
      </c>
      <c r="C18" s="41">
        <v>0.3</v>
      </c>
      <c r="D18" s="72" t="s">
        <v>37</v>
      </c>
      <c r="E18" s="67" t="s">
        <v>79</v>
      </c>
    </row>
    <row r="19" spans="2:7" x14ac:dyDescent="0.25">
      <c r="B19" s="65" t="s">
        <v>119</v>
      </c>
      <c r="C19" s="41">
        <v>0.2</v>
      </c>
      <c r="D19" s="72" t="s">
        <v>38</v>
      </c>
      <c r="E19" s="67" t="s">
        <v>79</v>
      </c>
    </row>
    <row r="20" spans="2:7" x14ac:dyDescent="0.25">
      <c r="B20" s="65" t="s">
        <v>120</v>
      </c>
      <c r="C20" s="41">
        <v>0.3</v>
      </c>
      <c r="D20" s="69" t="s">
        <v>48</v>
      </c>
      <c r="E20" s="67" t="s">
        <v>80</v>
      </c>
    </row>
    <row r="21" spans="2:7" x14ac:dyDescent="0.25">
      <c r="B21" s="65" t="s">
        <v>152</v>
      </c>
      <c r="C21" s="41">
        <v>0.35</v>
      </c>
      <c r="D21" s="69" t="s">
        <v>81</v>
      </c>
      <c r="E21" s="67" t="s">
        <v>82</v>
      </c>
    </row>
    <row r="22" spans="2:7" x14ac:dyDescent="0.25">
      <c r="B22" s="65" t="s">
        <v>153</v>
      </c>
      <c r="C22" s="41">
        <v>0.59</v>
      </c>
      <c r="D22" s="69" t="s">
        <v>245</v>
      </c>
      <c r="E22" s="67" t="s">
        <v>83</v>
      </c>
    </row>
    <row r="23" spans="2:7" x14ac:dyDescent="0.25">
      <c r="B23" s="65" t="s">
        <v>154</v>
      </c>
      <c r="C23" s="41">
        <v>0.41</v>
      </c>
      <c r="D23" s="69" t="s">
        <v>45</v>
      </c>
      <c r="E23" s="67" t="s">
        <v>84</v>
      </c>
    </row>
    <row r="24" spans="2:7" ht="23.25" x14ac:dyDescent="0.25">
      <c r="B24" s="65" t="s">
        <v>155</v>
      </c>
      <c r="C24" s="41">
        <v>0.35</v>
      </c>
      <c r="D24" s="69" t="s">
        <v>33</v>
      </c>
      <c r="E24" s="67" t="s">
        <v>85</v>
      </c>
    </row>
    <row r="25" spans="2:7" ht="14.45" customHeight="1" x14ac:dyDescent="0.25">
      <c r="B25" s="65" t="s">
        <v>156</v>
      </c>
      <c r="C25" s="41">
        <v>0.61</v>
      </c>
      <c r="D25" s="69" t="s">
        <v>160</v>
      </c>
      <c r="E25" s="67" t="s">
        <v>163</v>
      </c>
    </row>
    <row r="26" spans="2:7" ht="12.95" customHeight="1" x14ac:dyDescent="0.25">
      <c r="B26" s="65" t="s">
        <v>121</v>
      </c>
      <c r="C26" s="41">
        <v>0.05</v>
      </c>
      <c r="D26" s="69" t="s">
        <v>39</v>
      </c>
      <c r="E26" s="67" t="s">
        <v>86</v>
      </c>
    </row>
    <row r="27" spans="2:7" ht="15.6" customHeight="1" x14ac:dyDescent="0.25">
      <c r="B27" s="65" t="s">
        <v>122</v>
      </c>
      <c r="C27" s="41">
        <v>0</v>
      </c>
      <c r="D27" s="69" t="s">
        <v>34</v>
      </c>
      <c r="E27" s="67" t="s">
        <v>86</v>
      </c>
    </row>
    <row r="28" spans="2:7" ht="15" customHeight="1" x14ac:dyDescent="0.25">
      <c r="B28" s="65" t="s">
        <v>123</v>
      </c>
      <c r="C28" s="41">
        <v>0.56999999999999995</v>
      </c>
      <c r="D28" s="72" t="s">
        <v>26</v>
      </c>
      <c r="E28" s="67" t="s">
        <v>87</v>
      </c>
    </row>
    <row r="29" spans="2:7" x14ac:dyDescent="0.25">
      <c r="B29" s="65" t="s">
        <v>124</v>
      </c>
      <c r="C29" s="41">
        <v>0.35</v>
      </c>
      <c r="D29" s="72" t="s">
        <v>28</v>
      </c>
      <c r="E29" s="67" t="s">
        <v>88</v>
      </c>
      <c r="G29" s="1"/>
    </row>
    <row r="30" spans="2:7" x14ac:dyDescent="0.25">
      <c r="B30" s="65" t="s">
        <v>125</v>
      </c>
      <c r="C30" s="41">
        <v>0.61</v>
      </c>
      <c r="D30" s="69" t="s">
        <v>49</v>
      </c>
      <c r="E30" s="67" t="s">
        <v>89</v>
      </c>
      <c r="G30" s="1"/>
    </row>
    <row r="31" spans="2:7" x14ac:dyDescent="0.25">
      <c r="B31" s="65" t="s">
        <v>126</v>
      </c>
      <c r="C31" s="41">
        <v>0.28999999999999998</v>
      </c>
      <c r="D31" s="72" t="s">
        <v>40</v>
      </c>
      <c r="E31" s="67">
        <v>20</v>
      </c>
    </row>
    <row r="32" spans="2:7" x14ac:dyDescent="0.25">
      <c r="B32" s="65" t="s">
        <v>127</v>
      </c>
      <c r="C32" s="41">
        <v>0.25</v>
      </c>
      <c r="D32" s="72" t="s">
        <v>41</v>
      </c>
      <c r="E32" s="67" t="s">
        <v>90</v>
      </c>
    </row>
    <row r="33" spans="2:5" x14ac:dyDescent="0.25">
      <c r="B33" s="65" t="s">
        <v>128</v>
      </c>
      <c r="C33" s="41">
        <v>0.4</v>
      </c>
      <c r="D33" s="72" t="s">
        <v>129</v>
      </c>
      <c r="E33" s="67" t="s">
        <v>91</v>
      </c>
    </row>
    <row r="34" spans="2:5" x14ac:dyDescent="0.25">
      <c r="B34" s="65" t="s">
        <v>130</v>
      </c>
      <c r="C34" s="41">
        <v>0.45</v>
      </c>
      <c r="D34" s="72" t="s">
        <v>27</v>
      </c>
      <c r="E34" s="67" t="s">
        <v>92</v>
      </c>
    </row>
    <row r="35" spans="2:5" x14ac:dyDescent="0.25">
      <c r="B35" s="65" t="s">
        <v>131</v>
      </c>
      <c r="C35" s="41">
        <v>0.3</v>
      </c>
      <c r="D35" s="66" t="s">
        <v>47</v>
      </c>
      <c r="E35" s="67" t="s">
        <v>93</v>
      </c>
    </row>
    <row r="36" spans="2:5" x14ac:dyDescent="0.25">
      <c r="B36" s="65" t="s">
        <v>132</v>
      </c>
      <c r="C36" s="41">
        <v>0.5</v>
      </c>
      <c r="D36" s="73" t="s">
        <v>42</v>
      </c>
      <c r="E36" s="67" t="s">
        <v>94</v>
      </c>
    </row>
    <row r="37" spans="2:5" x14ac:dyDescent="0.25">
      <c r="B37" s="65" t="s">
        <v>142</v>
      </c>
      <c r="C37" s="41">
        <v>0.6</v>
      </c>
      <c r="D37" s="73" t="s">
        <v>44</v>
      </c>
      <c r="E37" s="67">
        <v>25114</v>
      </c>
    </row>
    <row r="38" spans="2:5" x14ac:dyDescent="0.25">
      <c r="B38" s="65" t="s">
        <v>133</v>
      </c>
      <c r="C38" s="41">
        <v>0.15</v>
      </c>
      <c r="D38" s="73" t="s">
        <v>246</v>
      </c>
      <c r="E38" s="67" t="s">
        <v>95</v>
      </c>
    </row>
    <row r="39" spans="2:5" ht="13.5" customHeight="1" x14ac:dyDescent="0.25">
      <c r="B39" s="65" t="s">
        <v>134</v>
      </c>
      <c r="C39" s="41">
        <v>0.3</v>
      </c>
      <c r="D39" s="72" t="s">
        <v>135</v>
      </c>
      <c r="E39" s="67" t="s">
        <v>136</v>
      </c>
    </row>
    <row r="40" spans="2:5" x14ac:dyDescent="0.25">
      <c r="B40" s="65" t="s">
        <v>137</v>
      </c>
      <c r="C40" s="41">
        <v>0.7</v>
      </c>
      <c r="D40" s="72" t="s">
        <v>43</v>
      </c>
      <c r="E40" s="67" t="s">
        <v>96</v>
      </c>
    </row>
    <row r="41" spans="2:5" x14ac:dyDescent="0.25">
      <c r="B41" s="65" t="s">
        <v>138</v>
      </c>
      <c r="C41" s="41">
        <v>0.05</v>
      </c>
      <c r="D41" s="69" t="s">
        <v>35</v>
      </c>
      <c r="E41" s="67" t="s">
        <v>97</v>
      </c>
    </row>
    <row r="42" spans="2:5" x14ac:dyDescent="0.25">
      <c r="B42" s="65" t="s">
        <v>157</v>
      </c>
      <c r="C42" s="41">
        <v>0</v>
      </c>
      <c r="D42" s="69" t="s">
        <v>36</v>
      </c>
      <c r="E42" s="67" t="s">
        <v>86</v>
      </c>
    </row>
    <row r="43" spans="2:5" x14ac:dyDescent="0.25">
      <c r="B43" s="21"/>
      <c r="E43" s="22"/>
    </row>
  </sheetData>
  <sheetProtection algorithmName="SHA-512" hashValue="YgiVQM0Nb873ThwQ2+13F4iDQWhVxX7vlsNsZ/MKavjWUnjWZWWRDaA/17VmZHY3FQ81RRxIpP9PSV60m9N0vA==" saltValue="BFAJFQs+jGcCe+Yxq+nnJg==" spinCount="100000" sheet="1" formatCells="0"/>
  <hyperlinks>
    <hyperlink ref="B43" r:id="rId1" display="1. International Standard Industrial Classification" xr:uid="{00000000-0004-0000-0700-000000000000}"/>
  </hyperlinks>
  <pageMargins left="0.25" right="0.25" top="0.75" bottom="0.75" header="0.3" footer="0.3"/>
  <pageSetup paperSize="8" orientation="landscape" r:id="rId2"/>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7008BC8C3CEFE48BB06D62C49977577" ma:contentTypeVersion="2" ma:contentTypeDescription="Create a new document." ma:contentTypeScope="" ma:versionID="6189325c0194b7e784f15ab9fb0add3e">
  <xsd:schema xmlns:xsd="http://www.w3.org/2001/XMLSchema" xmlns:xs="http://www.w3.org/2001/XMLSchema" xmlns:p="http://schemas.microsoft.com/office/2006/metadata/properties" xmlns:ns1="http://schemas.microsoft.com/sharepoint/v3" xmlns:ns2="e8929bd0-5c66-4f49-9b02-f60c96f517a4" targetNamespace="http://schemas.microsoft.com/office/2006/metadata/properties" ma:root="true" ma:fieldsID="43e10f68a4370577069a7eb2890c4fe9" ns1:_="" ns2:_="">
    <xsd:import namespace="http://schemas.microsoft.com/sharepoint/v3"/>
    <xsd:import namespace="e8929bd0-5c66-4f49-9b02-f60c96f517a4"/>
    <xsd:element name="properties">
      <xsd:complexType>
        <xsd:sequence>
          <xsd:element name="documentManagement">
            <xsd:complexType>
              <xsd:all>
                <xsd:element ref="ns1:PublishingStartDate" minOccurs="0"/>
                <xsd:element ref="ns1:PublishingExpirationDate" minOccurs="0"/>
                <xsd:element ref="ns2:Categor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8929bd0-5c66-4f49-9b02-f60c96f517a4" elementFormDefault="qualified">
    <xsd:import namespace="http://schemas.microsoft.com/office/2006/documentManagement/types"/>
    <xsd:import namespace="http://schemas.microsoft.com/office/infopath/2007/PartnerControls"/>
    <xsd:element name="Category" ma:index="10" nillable="true" ma:displayName="Category" ma:list="{61c6678f-393e-4e39-9ad5-312d9cbf130e}" ma:internalName="Category" ma:showField="Title">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Category xmlns="e8929bd0-5c66-4f49-9b02-f60c96f517a4">7</Category>
    <PublishingStartDate xmlns="http://schemas.microsoft.com/sharepoint/v3"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sisl xmlns:xsd="http://www.w3.org/2001/XMLSchema" xmlns:xsi="http://www.w3.org/2001/XMLSchema-instance" xmlns="http://www.boldonjames.com/2008/01/sie/internal/label" sislVersion="0" policy="1472662e-cd8d-4c76-8522-3a324fe1f54e" origin="userSelected">
  <element uid="c2c9ae71-cbcf-429f-b25d-9bcd65dc36b6" value=""/>
</sisl>
</file>

<file path=customXml/itemProps1.xml><?xml version="1.0" encoding="utf-8"?>
<ds:datastoreItem xmlns:ds="http://schemas.openxmlformats.org/officeDocument/2006/customXml" ds:itemID="{2068EF38-5184-4DED-A890-69C5BF38DF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8929bd0-5c66-4f49-9b02-f60c96f517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F6D7BAA-0911-462E-97DF-C78EC41DABA2}">
  <ds:schemaRefs>
    <ds:schemaRef ds:uri="http://schemas.microsoft.com/DataMashup"/>
  </ds:schemaRefs>
</ds:datastoreItem>
</file>

<file path=customXml/itemProps3.xml><?xml version="1.0" encoding="utf-8"?>
<ds:datastoreItem xmlns:ds="http://schemas.openxmlformats.org/officeDocument/2006/customXml" ds:itemID="{17E003C5-C95B-4166-90E7-6E71E886AA8B}">
  <ds:schemaRefs>
    <ds:schemaRef ds:uri="http://schemas.microsoft.com/sharepoint/v3"/>
    <ds:schemaRef ds:uri="http://schemas.microsoft.com/office/2006/documentManagement/types"/>
    <ds:schemaRef ds:uri="http://purl.org/dc/dcmitype/"/>
    <ds:schemaRef ds:uri="http://schemas.microsoft.com/office/infopath/2007/PartnerControls"/>
    <ds:schemaRef ds:uri="http://purl.org/dc/elements/1.1/"/>
    <ds:schemaRef ds:uri="e8929bd0-5c66-4f49-9b02-f60c96f517a4"/>
    <ds:schemaRef ds:uri="http://www.w3.org/XML/1998/namespace"/>
    <ds:schemaRef ds:uri="http://schemas.openxmlformats.org/package/2006/metadata/core-properties"/>
    <ds:schemaRef ds:uri="http://schemas.microsoft.com/office/2006/metadata/properties"/>
    <ds:schemaRef ds:uri="http://purl.org/dc/terms/"/>
  </ds:schemaRefs>
</ds:datastoreItem>
</file>

<file path=customXml/itemProps4.xml><?xml version="1.0" encoding="utf-8"?>
<ds:datastoreItem xmlns:ds="http://schemas.openxmlformats.org/officeDocument/2006/customXml" ds:itemID="{571E8931-3937-4E34-A53D-40408F3C0D56}">
  <ds:schemaRefs>
    <ds:schemaRef ds:uri="http://schemas.microsoft.com/sharepoint/v3/contenttype/forms"/>
  </ds:schemaRefs>
</ds:datastoreItem>
</file>

<file path=customXml/itemProps5.xml><?xml version="1.0" encoding="utf-8"?>
<ds:datastoreItem xmlns:ds="http://schemas.openxmlformats.org/officeDocument/2006/customXml" ds:itemID="{0FFA425D-237D-4197-856D-9D54FEC82094}">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Overview</vt:lpstr>
      <vt:lpstr>Section 1. General Information</vt:lpstr>
      <vt:lpstr>Section 2. Evaluation</vt:lpstr>
      <vt:lpstr>Section 3. Labor</vt:lpstr>
      <vt:lpstr>Section 4. Goods and Services</vt:lpstr>
      <vt:lpstr>Section 5. Capacity Building</vt:lpstr>
      <vt:lpstr>Section 6. Depreciation &amp; Amor.</vt:lpstr>
      <vt:lpstr>Appendix A</vt:lpstr>
    </vt:vector>
  </TitlesOfParts>
  <Company>The Boston Consulting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Target Local Content Score Template (at Entity Level)</dc:title>
  <dc:creator>Rakan Alasim</dc:creator>
  <cp:lastModifiedBy>Mohammed Alogiely</cp:lastModifiedBy>
  <cp:lastPrinted>2018-12-27T11:16:56Z</cp:lastPrinted>
  <dcterms:created xsi:type="dcterms:W3CDTF">2017-06-19T08:29:53Z</dcterms:created>
  <dcterms:modified xsi:type="dcterms:W3CDTF">2025-03-02T03:31:30Z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docIndexRef">
    <vt:lpwstr>d2f35248-0d0c-4bbe-a60e-168e42db5a3c</vt:lpwstr>
  </property>
  <property fmtid="{D5CDD505-2E9C-101B-9397-08002B2CF9AE}" pid="4" name="bjSaver">
    <vt:lpwstr>uOMm0A6D+JmD1V/lD3PE3U8A7q5vgfmI</vt:lpwstr>
  </property>
  <property fmtid="{D5CDD505-2E9C-101B-9397-08002B2CF9AE}" pid="5" name="bjDocumentLabelXML">
    <vt:lpwstr>&lt;?xml version="1.0" encoding="us-ascii"?&gt;&lt;sisl xmlns:xsd="http://www.w3.org/2001/XMLSchema" xmlns:xsi="http://www.w3.org/2001/XMLSchema-instance" sislVersion="0" policy="1472662e-cd8d-4c76-8522-3a324fe1f54e" origin="userSelected" xmlns="http://www.boldonj</vt:lpwstr>
  </property>
  <property fmtid="{D5CDD505-2E9C-101B-9397-08002B2CF9AE}" pid="6" name="bjDocumentLabelXML-0">
    <vt:lpwstr>ames.com/2008/01/sie/internal/label"&gt;&lt;element uid="c2c9ae71-cbcf-429f-b25d-9bcd65dc36b6" value="" /&gt;&lt;/sisl&gt;</vt:lpwstr>
  </property>
  <property fmtid="{D5CDD505-2E9C-101B-9397-08002B2CF9AE}" pid="7" name="bjDocumentSecurityLabel">
    <vt:lpwstr>Your Marking Format here</vt:lpwstr>
  </property>
  <property fmtid="{D5CDD505-2E9C-101B-9397-08002B2CF9AE}" pid="8" name="bjClsUserRVM">
    <vt:lpwstr>[]</vt:lpwstr>
  </property>
  <property fmtid="{D5CDD505-2E9C-101B-9397-08002B2CF9AE}" pid="9" name="bjCentreHeaderLabel-first">
    <vt:lpwstr>&amp;"Times New Roman,Regular"&amp;12&amp;KFFCC00Confidential - مقيّد</vt:lpwstr>
  </property>
  <property fmtid="{D5CDD505-2E9C-101B-9397-08002B2CF9AE}" pid="10" name="bjCentreHeaderLabel-even">
    <vt:lpwstr>&amp;"Times New Roman,Regular"&amp;12&amp;KFFCC00Confidential - مقيّد</vt:lpwstr>
  </property>
  <property fmtid="{D5CDD505-2E9C-101B-9397-08002B2CF9AE}" pid="11" name="bjCentreHeaderLabel">
    <vt:lpwstr>&amp;"Times New Roman,Regular"&amp;12&amp;KFFCC00Confidential - مقيّد</vt:lpwstr>
  </property>
  <property fmtid="{D5CDD505-2E9C-101B-9397-08002B2CF9AE}" pid="12" name="ContentTypeId">
    <vt:lpwstr>0x010100B7008BC8C3CEFE48BB06D62C49977577</vt:lpwstr>
  </property>
</Properties>
</file>