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codeName="ThisWorkbook"/>
  <mc:AlternateContent xmlns:mc="http://schemas.openxmlformats.org/markup-compatibility/2006">
    <mc:Choice Requires="x15">
      <x15ac:absPath xmlns:x15ac="http://schemas.microsoft.com/office/spreadsheetml/2010/11/ac" url="C:\Users\malogiely\Desktop\حمدي\النماذج المرقمة - 27 فبراير 2026- معدل\النماذج المرقمة\الانجليزي\"/>
    </mc:Choice>
  </mc:AlternateContent>
  <xr:revisionPtr revIDLastSave="0" documentId="13_ncr:1_{229E333B-B68C-4417-9586-0219A58C385C}" xr6:coauthVersionLast="47" xr6:coauthVersionMax="47" xr10:uidLastSave="{00000000-0000-0000-0000-000000000000}"/>
  <bookViews>
    <workbookView xWindow="-120" yWindow="-120" windowWidth="38640" windowHeight="21120" tabRatio="897" xr2:uid="{00000000-000D-0000-FFFF-FFFF00000000}"/>
  </bookViews>
  <sheets>
    <sheet name="Overview" sheetId="16" r:id="rId1"/>
    <sheet name="Section 1. General Information" sheetId="1" r:id="rId2"/>
    <sheet name="Section 2. Evaluation" sheetId="2" r:id="rId3"/>
    <sheet name="Section 3. Labor" sheetId="3" r:id="rId4"/>
    <sheet name="Section 4. Goods and Services" sheetId="4" r:id="rId5"/>
    <sheet name="Section 5. Capacity Building" sheetId="5" r:id="rId6"/>
    <sheet name="Section 6. Depreciation &amp; Amor." sheetId="11" r:id="rId7"/>
    <sheet name="Appendix A" sheetId="14" r:id="rId8"/>
  </sheets>
  <definedNames>
    <definedName name="Above400M">#REF!</definedName>
    <definedName name="Baseline">#REF!</definedName>
    <definedName name="Below400M">#REF!</definedName>
    <definedName name="Contract">#REF!</definedName>
    <definedName name="Distributor">#REF!</definedName>
    <definedName name="Entity">#REF!</definedName>
    <definedName name="Final">#REF!</definedName>
    <definedName name="Foreign">#REF!</definedName>
    <definedName name="Level">#REF!</definedName>
    <definedName name="LevelSelection">#REF!</definedName>
    <definedName name="ListTypes">#REF!</definedName>
    <definedName name="NoContract">#REF!</definedName>
    <definedName name="Other">#REF!</definedName>
    <definedName name="Periodic">#REF!</definedName>
    <definedName name="Producer">#REF!</definedName>
    <definedName name="Product">#REF!</definedName>
    <definedName name="Provider">#REF!</definedName>
    <definedName name="Purpose">#REF!</definedName>
    <definedName name="PurposeSelection">#REF!</definedName>
    <definedName name="ScenarioLabelIDs">#REF!</definedName>
    <definedName name="ScenarioLabels">#REF!</definedName>
    <definedName name="Supplementary">#REF!</definedName>
    <definedName name="Supplier">#REF!</definedName>
    <definedName name="SupplierTypes">#REF!</definedName>
    <definedName name="Target">#REF!</definedName>
    <definedName name="Value">#REF!</definedName>
    <definedName name="ValueSele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1" l="1"/>
  <c r="C6" i="11"/>
  <c r="C5" i="11"/>
  <c r="C4" i="11"/>
  <c r="C3" i="11"/>
  <c r="E30" i="11"/>
  <c r="D30" i="11"/>
  <c r="F29" i="11"/>
  <c r="F28" i="11"/>
  <c r="F27" i="11"/>
  <c r="F26" i="11"/>
  <c r="F25" i="11"/>
  <c r="F24" i="11"/>
  <c r="F23" i="11"/>
  <c r="F22" i="11"/>
  <c r="F21" i="11"/>
  <c r="F20" i="11"/>
  <c r="F19" i="11"/>
  <c r="F18" i="11"/>
  <c r="A18" i="11"/>
  <c r="A19" i="11" s="1"/>
  <c r="A20" i="11" s="1"/>
  <c r="A21" i="11" s="1"/>
  <c r="A22" i="11" s="1"/>
  <c r="A23" i="11" s="1"/>
  <c r="A24" i="11" s="1"/>
  <c r="A25" i="11" s="1"/>
  <c r="A26" i="11" s="1"/>
  <c r="A27" i="11" s="1"/>
  <c r="A28" i="11" s="1"/>
  <c r="A29" i="11" s="1"/>
  <c r="F17" i="11"/>
  <c r="D19" i="3"/>
  <c r="C19" i="3"/>
  <c r="E18" i="3"/>
  <c r="E17" i="3"/>
  <c r="E19" i="3" l="1"/>
  <c r="F30" i="11"/>
  <c r="C11" i="11" l="1"/>
  <c r="C12" i="11" s="1"/>
  <c r="C11" i="2"/>
  <c r="N56" i="4"/>
  <c r="N58" i="4" s="1"/>
  <c r="O55" i="4"/>
  <c r="C7" i="5"/>
  <c r="C7" i="4"/>
  <c r="C7" i="3"/>
  <c r="C7" i="2"/>
  <c r="C14" i="2" l="1"/>
  <c r="C15" i="2"/>
  <c r="C16" i="2"/>
  <c r="E11" i="3" l="1"/>
  <c r="C18" i="2" s="1"/>
  <c r="G28" i="11" l="1"/>
  <c r="G29" i="11"/>
  <c r="G22" i="11"/>
  <c r="G20" i="11"/>
  <c r="G23" i="11"/>
  <c r="G21" i="11"/>
  <c r="G24" i="11"/>
  <c r="G26" i="11"/>
  <c r="G19" i="11"/>
  <c r="G27" i="11"/>
  <c r="G25" i="11"/>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15" i="4"/>
  <c r="C3" i="2" l="1"/>
  <c r="C6" i="2" l="1"/>
  <c r="C5" i="2"/>
  <c r="C4" i="2"/>
  <c r="C6" i="5"/>
  <c r="C5" i="5"/>
  <c r="C4" i="5"/>
  <c r="C3" i="5"/>
  <c r="C6" i="4"/>
  <c r="C5" i="4"/>
  <c r="C4" i="4"/>
  <c r="C3" i="4"/>
  <c r="C6" i="3"/>
  <c r="C5" i="3"/>
  <c r="C4" i="3"/>
  <c r="C3" i="3"/>
  <c r="D13" i="3" l="1"/>
  <c r="C13" i="3"/>
  <c r="M19" i="4" l="1"/>
  <c r="M15" i="4"/>
  <c r="N57" i="4"/>
  <c r="A16" i="4"/>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E13" i="3"/>
  <c r="C36" i="2" l="1"/>
  <c r="G18" i="11"/>
  <c r="E12" i="3"/>
  <c r="C12" i="2"/>
  <c r="M52" i="4"/>
  <c r="O52" i="4" s="1"/>
  <c r="P52" i="4" s="1"/>
  <c r="M44" i="4"/>
  <c r="O44" i="4" s="1"/>
  <c r="P44" i="4" s="1"/>
  <c r="M36" i="4"/>
  <c r="O36" i="4" s="1"/>
  <c r="P36" i="4" s="1"/>
  <c r="M28" i="4"/>
  <c r="O28" i="4" s="1"/>
  <c r="P28" i="4" s="1"/>
  <c r="M20" i="4"/>
  <c r="O20" i="4" s="1"/>
  <c r="P20" i="4" s="1"/>
  <c r="M51" i="4"/>
  <c r="O51" i="4" s="1"/>
  <c r="P51" i="4" s="1"/>
  <c r="M43" i="4"/>
  <c r="O43" i="4" s="1"/>
  <c r="P43" i="4" s="1"/>
  <c r="M35" i="4"/>
  <c r="O35" i="4" s="1"/>
  <c r="P35" i="4" s="1"/>
  <c r="M27" i="4"/>
  <c r="O27" i="4" s="1"/>
  <c r="P27" i="4" s="1"/>
  <c r="M54" i="4"/>
  <c r="O54" i="4" s="1"/>
  <c r="P54" i="4" s="1"/>
  <c r="M50" i="4"/>
  <c r="O50" i="4" s="1"/>
  <c r="P50" i="4" s="1"/>
  <c r="M46" i="4"/>
  <c r="O46" i="4" s="1"/>
  <c r="P46" i="4" s="1"/>
  <c r="M42" i="4"/>
  <c r="O42" i="4" s="1"/>
  <c r="P42" i="4" s="1"/>
  <c r="M38" i="4"/>
  <c r="O38" i="4" s="1"/>
  <c r="P38" i="4" s="1"/>
  <c r="M34" i="4"/>
  <c r="O34" i="4" s="1"/>
  <c r="P34" i="4" s="1"/>
  <c r="M30" i="4"/>
  <c r="O30" i="4" s="1"/>
  <c r="P30" i="4" s="1"/>
  <c r="M26" i="4"/>
  <c r="O26" i="4" s="1"/>
  <c r="P26" i="4" s="1"/>
  <c r="M22" i="4"/>
  <c r="O22" i="4" s="1"/>
  <c r="P22" i="4" s="1"/>
  <c r="M18" i="4"/>
  <c r="O18" i="4" s="1"/>
  <c r="P18" i="4" s="1"/>
  <c r="M48" i="4"/>
  <c r="O48" i="4" s="1"/>
  <c r="P48" i="4" s="1"/>
  <c r="M40" i="4"/>
  <c r="O40" i="4" s="1"/>
  <c r="P40" i="4" s="1"/>
  <c r="M32" i="4"/>
  <c r="O32" i="4" s="1"/>
  <c r="P32" i="4" s="1"/>
  <c r="M24" i="4"/>
  <c r="O24" i="4" s="1"/>
  <c r="P24" i="4" s="1"/>
  <c r="M47" i="4"/>
  <c r="O47" i="4" s="1"/>
  <c r="P47" i="4" s="1"/>
  <c r="M39" i="4"/>
  <c r="O39" i="4" s="1"/>
  <c r="P39" i="4" s="1"/>
  <c r="M31" i="4"/>
  <c r="O31" i="4" s="1"/>
  <c r="P31" i="4" s="1"/>
  <c r="M23" i="4"/>
  <c r="O23" i="4" s="1"/>
  <c r="P23" i="4" s="1"/>
  <c r="M16" i="4"/>
  <c r="O16" i="4" s="1"/>
  <c r="P16" i="4" s="1"/>
  <c r="M53" i="4"/>
  <c r="O53" i="4" s="1"/>
  <c r="P53" i="4" s="1"/>
  <c r="M49" i="4"/>
  <c r="O49" i="4" s="1"/>
  <c r="P49" i="4" s="1"/>
  <c r="M45" i="4"/>
  <c r="O45" i="4" s="1"/>
  <c r="P45" i="4" s="1"/>
  <c r="M41" i="4"/>
  <c r="O41" i="4" s="1"/>
  <c r="P41" i="4" s="1"/>
  <c r="M37" i="4"/>
  <c r="O37" i="4" s="1"/>
  <c r="P37" i="4" s="1"/>
  <c r="M33" i="4"/>
  <c r="O33" i="4" s="1"/>
  <c r="P33" i="4" s="1"/>
  <c r="M29" i="4"/>
  <c r="O29" i="4" s="1"/>
  <c r="P29" i="4" s="1"/>
  <c r="M25" i="4"/>
  <c r="O25" i="4" s="1"/>
  <c r="P25" i="4" s="1"/>
  <c r="M21" i="4"/>
  <c r="O21" i="4" s="1"/>
  <c r="P21" i="4" s="1"/>
  <c r="M17" i="4"/>
  <c r="O17" i="4" s="1"/>
  <c r="P17" i="4" s="1"/>
  <c r="O15" i="4"/>
  <c r="P15" i="4" s="1"/>
  <c r="O19" i="4"/>
  <c r="P19" i="4" s="1"/>
  <c r="M56" i="4" l="1"/>
  <c r="O56" i="4" s="1"/>
  <c r="O57" i="4" s="1"/>
  <c r="F11" i="4" s="1"/>
  <c r="C13" i="2" l="1"/>
  <c r="C17" i="2" s="1"/>
  <c r="C19" i="2" l="1"/>
  <c r="C35" i="2"/>
  <c r="C37" i="2" s="1"/>
</calcChain>
</file>

<file path=xl/sharedStrings.xml><?xml version="1.0" encoding="utf-8"?>
<sst xmlns="http://schemas.openxmlformats.org/spreadsheetml/2006/main" count="350" uniqueCount="294">
  <si>
    <t>Description</t>
  </si>
  <si>
    <t>ABC</t>
  </si>
  <si>
    <t>Heading of the table</t>
  </si>
  <si>
    <t>Formula or pre-filled data</t>
  </si>
  <si>
    <t>Local Content Score (%)</t>
  </si>
  <si>
    <t>Section 2: Evaluation of Local Content</t>
  </si>
  <si>
    <t>Contribution to Local Content (%)</t>
  </si>
  <si>
    <t>Contribution to Local Content (SAR)</t>
  </si>
  <si>
    <t>Section 4: Goods and Services</t>
  </si>
  <si>
    <t>Section 5: Capacity Building</t>
  </si>
  <si>
    <t>Other (please give examples)</t>
  </si>
  <si>
    <t>Office furniture, desks, cubicles, office chairs</t>
  </si>
  <si>
    <t xml:space="preserve">Section 2. Evaluation </t>
  </si>
  <si>
    <t>Section 1. General Information</t>
  </si>
  <si>
    <t>Section 3. Labor</t>
  </si>
  <si>
    <t>Section 4. Goods &amp; Services</t>
  </si>
  <si>
    <t>Section 5. Capacity Building</t>
  </si>
  <si>
    <t>Data to be filled by the Entity</t>
  </si>
  <si>
    <t>Heading of the column or row</t>
  </si>
  <si>
    <t>Overview</t>
  </si>
  <si>
    <t>Contents</t>
  </si>
  <si>
    <t>Format</t>
  </si>
  <si>
    <t>The procurement of locally produced raw materials produced in agriculture, forestry &amp; fishing; all processed materials from these sectors should be categorized as manufacturing</t>
  </si>
  <si>
    <t>The procurement of locally produced raw materials extracted by the mining industry (e.g., coal, metal ores)</t>
  </si>
  <si>
    <t>The procurement of locally produced food, beverage and tobacco products</t>
  </si>
  <si>
    <t>Sector</t>
  </si>
  <si>
    <t>A.1 List of Sector Local Content Scores</t>
  </si>
  <si>
    <t>Section 1: General Information</t>
  </si>
  <si>
    <t>The procurement of all Services related to healthcare (the procurement of healthcare equipment and pharmaceuticals is categorized under Goods sectors)</t>
  </si>
  <si>
    <t>The procurement of Services not categorized elsewhere (e.g., recreation activities, household activities)</t>
  </si>
  <si>
    <t>The procurement of Services from foreign Service providers, i.e. entities without legal registration in KSA (direct Service imports)</t>
  </si>
  <si>
    <t>The procurement of any kind of Goods from KSA Suppliers who do not produce these Goods; instead, distributors/ traders import and distribute these Goods</t>
  </si>
  <si>
    <t>The procurement of Goods from foreign producers, i.e. entities without legal registration in KSA (direct Goods imports)</t>
  </si>
  <si>
    <t>The procurement of onshore drilling services</t>
  </si>
  <si>
    <t xml:space="preserve">The procurement of foreign service through local agents. This sector includes travel agencies  </t>
  </si>
  <si>
    <t>The procurement of locally produced machinery and equipment</t>
  </si>
  <si>
    <t>The procurement of locally recycled metal scrap, paper, plastic and rubber</t>
  </si>
  <si>
    <t>The procurement of locally produced steel rebar</t>
  </si>
  <si>
    <t>The procurement of information and telecommunication Services (e.g., Information service activities, computer programming, broadcasting, telecommunications)</t>
  </si>
  <si>
    <t>The procurement of Services for food and beverages (e.g. Restaurants, catering; the purchase of ready-made food &amp; beverage products is not included)</t>
  </si>
  <si>
    <t>The procurement of Services for Mining</t>
  </si>
  <si>
    <t>The procurement of locally produced chemicals, plastics, manufactured chemical Goods, and Oil &amp; Gas product (e.g. Rubber).</t>
  </si>
  <si>
    <t>Tender Name</t>
  </si>
  <si>
    <t>Contract Start Date (DD/MM/YYYY)</t>
  </si>
  <si>
    <t>1.3 Contact person</t>
  </si>
  <si>
    <t>1.4 Entity Description</t>
  </si>
  <si>
    <t>Section 3: Labor</t>
  </si>
  <si>
    <t>Entity Name</t>
  </si>
  <si>
    <t>Appendix A</t>
  </si>
  <si>
    <t>Appendix A.</t>
  </si>
  <si>
    <t>1.2 Entity Information</t>
  </si>
  <si>
    <t>Tender Information</t>
  </si>
  <si>
    <t>General information on Sector Local Content Scores</t>
  </si>
  <si>
    <t>The procurement of security services including guard and patrol services (e.g. Security of facilities) and armored car services, operation of electronic security alarm systems (e.g. fire alarm)</t>
  </si>
  <si>
    <t>80, 811001</t>
  </si>
  <si>
    <t>The procurement of Professional consulting, Such as engineering, accounting, legal, management consultancy (e.g. strategic, financial planning, budgeting, marketing, policies, HR)</t>
  </si>
  <si>
    <t>69-74 Exc. 712</t>
  </si>
  <si>
    <t>The procurement of Professional consulting, Such as engineering, accounting, legal, management consultancy (e.g. strategic, financial planning, budgeting, marketing, policies, HR) provided by a local representative of foreign professional service provider</t>
  </si>
  <si>
    <t>The procurement of services for selling or buying real estate, providing other real estate services such as appraising real estate or acting as real estate escrow agents. Exc. Facility rental</t>
  </si>
  <si>
    <t>68 Exc.68102</t>
  </si>
  <si>
    <t xml:space="preserve">41-43 </t>
  </si>
  <si>
    <t xml:space="preserve">The procurement of all education activities for any profession, oral or written as well as by radio and television or other means of communication (e.g., professional training, language education) </t>
  </si>
  <si>
    <t>75, 85</t>
  </si>
  <si>
    <t>86-88</t>
  </si>
  <si>
    <t>The procurement of transport and logistics services from locally based service providers. This sector includes shipping, transportation, cargo services and Saudi based airlines (including freight forward),(Foreign airlines booked by local agency is categorized under foreign service agent),Exc. Rental of cars</t>
  </si>
  <si>
    <t>49-53 Exc.49225, 79-7911</t>
  </si>
  <si>
    <t>06, 091</t>
  </si>
  <si>
    <t>Rental of Cars, Trucks and Equipment including power generation equipment (including the driver services)</t>
  </si>
  <si>
    <t>49225, 773-7730, 771</t>
  </si>
  <si>
    <t>582, 61-63</t>
  </si>
  <si>
    <t>39, 58-60 Exc. 582, 772, 773074-7740, 7912-7990, 81-8110, 812-8299, 90-99</t>
  </si>
  <si>
    <t>N /A (supplier type)</t>
  </si>
  <si>
    <t>01-03</t>
  </si>
  <si>
    <t>10-12</t>
  </si>
  <si>
    <t>19-20, 22, 352</t>
  </si>
  <si>
    <t>265-268, 28 Exc.2813&amp;2814, 29-30</t>
  </si>
  <si>
    <t>27, 2814</t>
  </si>
  <si>
    <t>05, 07-08</t>
  </si>
  <si>
    <t xml:space="preserve"> 261-264</t>
  </si>
  <si>
    <t>381103, 383</t>
  </si>
  <si>
    <t>45-47</t>
  </si>
  <si>
    <t>Section 6. Depreciation and Amortization</t>
  </si>
  <si>
    <t>Remaining expenses (SAR)</t>
  </si>
  <si>
    <t>Total expenses (SAR)</t>
  </si>
  <si>
    <t>Contract Value</t>
  </si>
  <si>
    <t>Other Disallowable Costs (unallocated cost)</t>
  </si>
  <si>
    <t>5.1 Expenses on Training of Saudis</t>
  </si>
  <si>
    <t>5.2 Expenses on KSA Suppliers Development</t>
  </si>
  <si>
    <t>5.3 Expenses on KSA Research and Development</t>
  </si>
  <si>
    <t>Depreciation/Amortization (SAR)</t>
  </si>
  <si>
    <t xml:space="preserve">1.1 Tender Information </t>
  </si>
  <si>
    <t>Contract End Date (DD/MM/YYYY)</t>
  </si>
  <si>
    <t>Goods/Services</t>
  </si>
  <si>
    <t>Local/Foreign</t>
  </si>
  <si>
    <t>2_SERVICES - KSA Food and Beverages</t>
  </si>
  <si>
    <t>4_SERVICES - KSA Security Services</t>
  </si>
  <si>
    <t>6_SERVICES - KSA local representative of Foreign professional service provider</t>
  </si>
  <si>
    <t>7_SERVICES - KSA Real Estate</t>
  </si>
  <si>
    <t xml:space="preserve">The procurement of locally produced electrical materials including switch gears, junction boxes, trays, conduits, fixtures, inverters skid and other electrical materials, , Excluding PV panels and electrical inverters. </t>
  </si>
  <si>
    <t>The procurement of locally produced paper products, wood products, furniture, secondary raw material, textiles, pharmaceuticals and other industries, Including PV panels and electrical inverters.</t>
  </si>
  <si>
    <t>13-18, 21, 23 Exc.2394&amp;2395, 31-32 (Inc. 2790 PV panels and Electrical inverters)</t>
  </si>
  <si>
    <t>Template Code</t>
  </si>
  <si>
    <t>Version Number</t>
  </si>
  <si>
    <t>Tender/ Contract No.</t>
  </si>
  <si>
    <t>Report Type</t>
  </si>
  <si>
    <t>Periodic</t>
  </si>
  <si>
    <t>Final</t>
  </si>
  <si>
    <t>Mobile cranes, Trucks, vans, cars, trailers, fork lifts</t>
  </si>
  <si>
    <t>1_SERVICES - KSA Accommodation and Facility Rental</t>
  </si>
  <si>
    <t>3_SERVICES - KSA Industrial Services</t>
  </si>
  <si>
    <t>5_SERVICES - KSA local Professional Services</t>
  </si>
  <si>
    <t>8_SERVICES - KSA Construction</t>
  </si>
  <si>
    <t>9_SERVICES - KSA Education</t>
  </si>
  <si>
    <t>The procurement of testing, inspection, certification, calibration, maintenance, blasting, painting, coating and galvanizing services, steam and air conditioning supply</t>
  </si>
  <si>
    <t xml:space="preserve">The procurement of construction Services, specialized construction activities for buildings and civil engineering works (e.g., contracting; the procurement of pure construction materials is categorized under Goods sectors), interior and exterior painting of buildings </t>
  </si>
  <si>
    <t>The procurement of Services produced by government bodies (General public administration activities, Foreign affairs, Defence activities, etc)</t>
  </si>
  <si>
    <t>The procurement of offshore drilling services</t>
  </si>
  <si>
    <t>The procurement of services of electricity supply, water supply; sewerage.</t>
  </si>
  <si>
    <t>The procurement of locally produced chemicals where the raw material is imported. This sector includes paint manufacturers</t>
  </si>
  <si>
    <t xml:space="preserve">The procurement of locally produced static equipment such as tanks, pressure vessels and valves (control valves excluded) and steel manufacturers and structural  </t>
  </si>
  <si>
    <t>The procurement of locally produced  cement, concrete and gypsum</t>
  </si>
  <si>
    <t>55, 68102</t>
  </si>
  <si>
    <t>24-25 Exc.25114&amp;25921, 2813</t>
  </si>
  <si>
    <t xml:space="preserve"> 2394-2395</t>
  </si>
  <si>
    <r>
      <rPr>
        <b/>
        <sz val="20"/>
        <color theme="1"/>
        <rFont val="Calibri"/>
        <family val="2"/>
        <scheme val="minor"/>
      </rPr>
      <t>Periodic or Final Report Template (at Contract Level)</t>
    </r>
    <r>
      <rPr>
        <b/>
        <sz val="16"/>
        <color theme="1"/>
        <rFont val="Calibri"/>
        <family val="2"/>
        <scheme val="minor"/>
      </rPr>
      <t xml:space="preserve">
   Local Content and Government Procurement Authority
Template (N.3.2)</t>
    </r>
  </si>
  <si>
    <t>Local Content from depreciation and amortization</t>
  </si>
  <si>
    <r>
      <t>2.1 Local Content Score</t>
    </r>
    <r>
      <rPr>
        <b/>
        <vertAlign val="superscript"/>
        <sz val="11"/>
        <color rgb="FFFFFFFF"/>
        <rFont val="Calibri"/>
        <family val="2"/>
      </rPr>
      <t>1</t>
    </r>
  </si>
  <si>
    <r>
      <t>Total compensation (SAR)</t>
    </r>
    <r>
      <rPr>
        <b/>
        <vertAlign val="superscript"/>
        <sz val="11"/>
        <color theme="0"/>
        <rFont val="Calibri"/>
        <family val="2"/>
        <scheme val="minor"/>
      </rPr>
      <t>2</t>
    </r>
  </si>
  <si>
    <r>
      <t>Compensation</t>
    </r>
    <r>
      <rPr>
        <b/>
        <sz val="11"/>
        <color theme="0"/>
        <rFont val="Calibri"/>
        <family val="2"/>
      </rPr>
      <t xml:space="preserve"> of Saudi employees (SAR)</t>
    </r>
    <r>
      <rPr>
        <b/>
        <vertAlign val="superscript"/>
        <sz val="11"/>
        <color theme="0"/>
        <rFont val="Calibri"/>
        <family val="2"/>
      </rPr>
      <t>3</t>
    </r>
  </si>
  <si>
    <r>
      <t>Compensation</t>
    </r>
    <r>
      <rPr>
        <b/>
        <sz val="11"/>
        <color theme="0"/>
        <rFont val="Calibri"/>
        <family val="2"/>
      </rPr>
      <t xml:space="preserve"> of foreign employees (SAR)</t>
    </r>
  </si>
  <si>
    <r>
      <t>Total compensation</t>
    </r>
    <r>
      <rPr>
        <b/>
        <sz val="11"/>
        <color theme="0"/>
        <rFont val="Calibri"/>
        <family val="2"/>
      </rPr>
      <t xml:space="preserve">
(SAR)</t>
    </r>
  </si>
  <si>
    <t>4.1 Total Expenses Related to Contract Execution for the Reporting Period</t>
  </si>
  <si>
    <t>4.2 Expense on Goods and Services Related to Contract Execution for the Reporting Period</t>
  </si>
  <si>
    <t xml:space="preserve">Local Content from labor </t>
  </si>
  <si>
    <t xml:space="preserve">Local Content from Goods and Services </t>
  </si>
  <si>
    <t xml:space="preserve">Local Content from Saudi training </t>
  </si>
  <si>
    <t xml:space="preserve">Local Content from Supplier development </t>
  </si>
  <si>
    <t xml:space="preserve">Local Content from research and development </t>
  </si>
  <si>
    <t>Contribution to Local Content from Goods and Services (SAR)</t>
  </si>
  <si>
    <t>Sector 
Score (%)</t>
  </si>
  <si>
    <t>Selected Score (%)</t>
  </si>
  <si>
    <t>10_SERVICES - KSA Finance and Insurance</t>
  </si>
  <si>
    <t>11_SERVICES - KSA Healthcare</t>
  </si>
  <si>
    <t>12_SERVICES - KSA Public Administration and Defence</t>
  </si>
  <si>
    <t>13_SERVICES - KSA Transport and Logistics</t>
  </si>
  <si>
    <t>14_SERVICES - KSA Onshore Drilling</t>
  </si>
  <si>
    <t>15_SERVICES - KSA Offshore Drilling</t>
  </si>
  <si>
    <t>16_SERVICES - KSA Mining</t>
  </si>
  <si>
    <t>17_SERVICES - KSA Cars, Trucks and Equipment Rental</t>
  </si>
  <si>
    <t>18_SERVICES - KSA Man Power Supply</t>
  </si>
  <si>
    <t>19_SERVICES - IT &amp; Telecom Services</t>
  </si>
  <si>
    <t>20_SERVICES - KSA Other Services</t>
  </si>
  <si>
    <t>21_SERVICES - Utilities</t>
  </si>
  <si>
    <t>22_SERVICES - Foreign Service Agent</t>
  </si>
  <si>
    <t>23_SERVICES - Foreign</t>
  </si>
  <si>
    <t>24_GOODS - KSA Agriculture, Forestry and Fishing</t>
  </si>
  <si>
    <t>25_GOODS - KSA Food and Beverage</t>
  </si>
  <si>
    <t>26_GOODS - KSA Chemicals &amp; Oil and Gas</t>
  </si>
  <si>
    <t>27_GOODS - KSA Chemical Blending</t>
  </si>
  <si>
    <t>28_GOODS - KSA Machinery and Equipment</t>
  </si>
  <si>
    <t>29_GOODS - KSA Electrical Materials</t>
  </si>
  <si>
    <t>30_GOODS - KSA Mining</t>
  </si>
  <si>
    <t>31_GOODS - KSA Static Equipment</t>
  </si>
  <si>
    <t>32_GOODS - KSA Cement and Gypsum</t>
  </si>
  <si>
    <t>33_GOODS - KSA Steel Rebar Manufacturing</t>
  </si>
  <si>
    <t>34_GOODS - KSA IT &amp; Telecom Manufacturing</t>
  </si>
  <si>
    <t>35_GOODS - KSA Other Manufacturing</t>
  </si>
  <si>
    <t>36_GOODS - KSA Recyclers</t>
  </si>
  <si>
    <t>37_GOODS - KSA Agent or Distributor</t>
  </si>
  <si>
    <t>38_GOODS - Foreign</t>
  </si>
  <si>
    <t>The procurement of Services for short-term accommodation (e.g. Hotels) Camping grounds, Other accommodation (e.g. student residences) and rental of office buildings, compounds, warehouses, etc.</t>
  </si>
  <si>
    <t>The procurement of all financial Services (e.g., banking, funds management); this category also includes the procurement of insurance and pension Services (e.g., health insurance, transport insurance, accident and fire insurance)</t>
  </si>
  <si>
    <t>25921, 33, 35, Exc. 351&amp;352, 38 Exc.381103&amp;383, 712</t>
  </si>
  <si>
    <t>64-66</t>
  </si>
  <si>
    <t>84</t>
  </si>
  <si>
    <t>09</t>
  </si>
  <si>
    <t>78</t>
  </si>
  <si>
    <t>351, 36, 37</t>
  </si>
  <si>
    <t>Buildings / Land and Building Improvements</t>
  </si>
  <si>
    <t>Industrial equipment, testing equipment, information and communication technology equipment</t>
  </si>
  <si>
    <t>ISIC Code</t>
  </si>
  <si>
    <t>The procurement of labor force services.</t>
  </si>
  <si>
    <t>The procurement of manufacturing of computer&amp; electronic components, communication equipment (agents/resellers are not considered)</t>
  </si>
  <si>
    <t>General information about the entity and the types of products and services it provides</t>
  </si>
  <si>
    <t>Calculation and evaluation of the Local Content score for the entity</t>
  </si>
  <si>
    <t>The Entity's relevant expenses on labor compensation related to the contract execution during the reporting period</t>
  </si>
  <si>
    <t>The Entity's relevant Goods and Services expenses related to the contract execution during the reporting period</t>
  </si>
  <si>
    <t>The Entity's relevant expenses on KSA capacity building related to the contract execution during the reporting period</t>
  </si>
  <si>
    <t>The Entity's depreciation and amortization related to the contract execution during the reporting period</t>
  </si>
  <si>
    <t>Local content scores for Goods and Services sectors</t>
  </si>
  <si>
    <t>*This document was originally prepared in Arabic, and the Arabic version should prevail.</t>
  </si>
  <si>
    <t>Project Owner</t>
  </si>
  <si>
    <t>Report Number</t>
  </si>
  <si>
    <t>First Report</t>
  </si>
  <si>
    <t>Second Report</t>
  </si>
  <si>
    <t>Third Report</t>
  </si>
  <si>
    <t>Forth Report</t>
  </si>
  <si>
    <t>Fifth Report</t>
  </si>
  <si>
    <t>Sixth Report</t>
  </si>
  <si>
    <t>Seventh Report</t>
  </si>
  <si>
    <t>Eighth Report</t>
  </si>
  <si>
    <t>Ninth Report</t>
  </si>
  <si>
    <t>Tenth Report</t>
  </si>
  <si>
    <t>Final Report</t>
  </si>
  <si>
    <t>Full Name</t>
  </si>
  <si>
    <t>Main Address</t>
  </si>
  <si>
    <r>
      <t>Start of Reporting Period (DD/MM/YYYY)</t>
    </r>
    <r>
      <rPr>
        <b/>
        <vertAlign val="superscript"/>
        <sz val="11"/>
        <color theme="0"/>
        <rFont val="Calibri"/>
        <family val="2"/>
        <scheme val="minor"/>
      </rPr>
      <t>1</t>
    </r>
  </si>
  <si>
    <r>
      <t>End of Reporting Period (DD/MM/YYYY)</t>
    </r>
    <r>
      <rPr>
        <b/>
        <vertAlign val="superscript"/>
        <sz val="11"/>
        <color theme="0"/>
        <rFont val="Calibri"/>
        <family val="2"/>
        <scheme val="minor"/>
      </rPr>
      <t>1</t>
    </r>
  </si>
  <si>
    <t>E-mail Address</t>
  </si>
  <si>
    <t>Office Phone Number</t>
  </si>
  <si>
    <t>Mobile Phone Number</t>
  </si>
  <si>
    <t>Please provide a brief description of the types of goods and services provided by the entity</t>
  </si>
  <si>
    <t>1. Specify the start and end of the period reported in this template (“Reporting Period”). The contractor must submit periodic or final reports in accordance with the terms and conditions of the required mechanism for local content.</t>
  </si>
  <si>
    <t>Evaluation Criteria</t>
  </si>
  <si>
    <t>Total Local Content Contribution for the Reporting Period</t>
  </si>
  <si>
    <r>
      <t>Total Relevant Cost of the Contract for the Reporting Period</t>
    </r>
    <r>
      <rPr>
        <b/>
        <vertAlign val="superscript"/>
        <sz val="11"/>
        <color theme="0"/>
        <rFont val="Calibri"/>
        <family val="2"/>
        <scheme val="minor"/>
      </rPr>
      <t>2</t>
    </r>
  </si>
  <si>
    <r>
      <t>2.2 Evaluation of the Local Content of the Prior Reports</t>
    </r>
    <r>
      <rPr>
        <b/>
        <vertAlign val="superscript"/>
        <sz val="11"/>
        <color theme="0"/>
        <rFont val="Calibri"/>
        <family val="2"/>
        <scheme val="minor"/>
      </rPr>
      <t>3</t>
    </r>
  </si>
  <si>
    <t>Prior Reports (Does not include the current report)</t>
  </si>
  <si>
    <t>Total Local Content Contribution</t>
  </si>
  <si>
    <t>Total Relevant Cost of the Contract</t>
  </si>
  <si>
    <t>2.3 Final Local Content Score of the Report</t>
  </si>
  <si>
    <t>Total Cumulative Contribution</t>
  </si>
  <si>
    <t>Total Cumulative Relevant Costs</t>
  </si>
  <si>
    <t>Cumulative Local Content Score %</t>
  </si>
  <si>
    <t>1. The local content score shows the actual value contributed by the entity related to the contract during the reporting period.</t>
  </si>
  <si>
    <t xml:space="preserve">2. The total cost related to the contract during the reporting period for operational activities including employee compensation, goods and services, capacity building, and depreciation and amortization of assets. </t>
  </si>
  <si>
    <t>3. The total relevant cost and the total local content contribution for the prior reports related to the contract.</t>
  </si>
  <si>
    <r>
      <t>3.1 Labor Compensations Related to Contract Execution during the Reporting Period</t>
    </r>
    <r>
      <rPr>
        <b/>
        <vertAlign val="superscript"/>
        <sz val="16"/>
        <color indexed="9"/>
        <rFont val="Calibri"/>
        <family val="2"/>
      </rPr>
      <t>1</t>
    </r>
  </si>
  <si>
    <t>1. Compensation of Saudi and foreign employees of the entity in the Kingdom of Saudi Arabia related to the contract execution during the reporting period, excluding the training expenses of Saudis included in Section 5 “Capacity Building”.</t>
  </si>
  <si>
    <t>2. Employees compensations includes salaries, wages, bonuses and benefits (e.g.: commissions, overtime, transportation allowances, housing allowances, vacations, other allowances, end-of-service benefits provision, and General Organization for Social Insurance (“GOSI”) contributions).</t>
  </si>
  <si>
    <t>3. A Saudi employee is any person who holds Saudi nationality or who is legally treated as a Saudi.</t>
  </si>
  <si>
    <r>
      <t>Total Expenses of Goods and Services (SAR)</t>
    </r>
    <r>
      <rPr>
        <b/>
        <vertAlign val="superscript"/>
        <sz val="11"/>
        <color theme="0"/>
        <rFont val="Calibri"/>
        <family val="2"/>
      </rPr>
      <t>1</t>
    </r>
  </si>
  <si>
    <t>Brief description of the goods or services provided</t>
  </si>
  <si>
    <t>Sector of the goods or services procured from the supplier</t>
  </si>
  <si>
    <t>Local Content Contribution (SAR)</t>
  </si>
  <si>
    <t>1. Includes the operating expenses and overhead costs of the entity on goods and services related to contract execution during the reporting period.</t>
  </si>
  <si>
    <t>2. List at least 70% or top 40 suppliers of the total expenses on Goods and Services in descending order by cost. The entity should contact LCGPA, in order to list more than 40 suppliers.</t>
  </si>
  <si>
    <t>3. Supplier's commercial registration number in the Kingdom of Saudi Arabia, and if it is not available, please enter the license number or “not applicable” to indicate that the supplier does not have a commercial registration or license number in the Kingdom of Saudi Arabia.</t>
  </si>
  <si>
    <t>4. Enter the supplier's latest audited score or use the sector score of the consumed goods or services.</t>
  </si>
  <si>
    <t>5. Total expenses refer to the value of total purchases, consumed materials or provided services from suppliers -individually- by the entity related to contract execution during the reporting period, as per the Guidelines and related instructions.</t>
  </si>
  <si>
    <r>
      <t>Expenses related to contract execution during the reporting period (SAR)</t>
    </r>
    <r>
      <rPr>
        <b/>
        <vertAlign val="superscript"/>
        <sz val="11"/>
        <color theme="0"/>
        <rFont val="Calibri"/>
        <family val="2"/>
      </rPr>
      <t>1</t>
    </r>
  </si>
  <si>
    <r>
      <t>Expenses related to contract execution during the reporting period (SAR)</t>
    </r>
    <r>
      <rPr>
        <b/>
        <vertAlign val="superscript"/>
        <sz val="11"/>
        <color theme="0"/>
        <rFont val="Calibri"/>
        <family val="2"/>
      </rPr>
      <t>2</t>
    </r>
  </si>
  <si>
    <r>
      <t>Expenses related to contract execution during the reporting period (SAR)</t>
    </r>
    <r>
      <rPr>
        <b/>
        <vertAlign val="superscript"/>
        <sz val="11"/>
        <color theme="0"/>
        <rFont val="Calibri"/>
        <family val="2"/>
      </rPr>
      <t>3</t>
    </r>
  </si>
  <si>
    <t>1. Expenses on the training of Saudi employees related to contract execution during the reporting period, this includes the cost of trainees and scholarships. Note that the expenses of this section shall not be repeated with other key performance indicators.</t>
  </si>
  <si>
    <t>2. Expenses on the development of suppliers (who have a Saudi commercial registration number or license number in KSA) related to contract execution during the reporting period, through training and contribution to enhance suppliers' capabilities. Note that the expenses of this section shall not be repeated with other key performance indicators.</t>
  </si>
  <si>
    <t>3. Expenses on research and development activities in KSA related to contract execution during the reporting period. Note that the expenses of this section shall not be repeated with other key performance indicators.</t>
  </si>
  <si>
    <t>Asset Class</t>
  </si>
  <si>
    <t>The Local Content Template is provided by the Local Content and Government Procurement Authority to allow the entity to measure its contribution to Local Content. This Template provides a unified tool for reporting Local Content Score.</t>
  </si>
  <si>
    <r>
      <t>KSA Unified National Number</t>
    </r>
    <r>
      <rPr>
        <b/>
        <vertAlign val="superscript"/>
        <sz val="11"/>
        <color theme="0"/>
        <rFont val="Calibri"/>
        <family val="2"/>
        <scheme val="minor"/>
      </rPr>
      <t>2</t>
    </r>
  </si>
  <si>
    <t>2. The entity's Unified National Number, if it is not available, enter the License Number, or please enter “Not applicable” to indicate that it does not have a unified national number or a license number in the Kingdom of Saudi Arabia.</t>
  </si>
  <si>
    <t>Periodic Report</t>
  </si>
  <si>
    <t>Fourth Report</t>
  </si>
  <si>
    <t>3.2 Average count of the employees for the Reported Financial Year</t>
  </si>
  <si>
    <r>
      <t xml:space="preserve"> Saudi Employees</t>
    </r>
    <r>
      <rPr>
        <b/>
        <vertAlign val="superscript"/>
        <sz val="11"/>
        <color theme="0"/>
        <rFont val="Calibri"/>
        <family val="2"/>
        <scheme val="minor"/>
      </rPr>
      <t>3</t>
    </r>
  </si>
  <si>
    <t>Foreign Employees</t>
  </si>
  <si>
    <t>Total</t>
  </si>
  <si>
    <t>Average count of Male Employees</t>
  </si>
  <si>
    <t>Average count of Femal Employees</t>
  </si>
  <si>
    <t>Average Employees Count</t>
  </si>
  <si>
    <r>
      <t>Factory Manufactored the supplied good, and Unified National Number -if Available-</t>
    </r>
    <r>
      <rPr>
        <b/>
        <vertAlign val="superscript"/>
        <sz val="11"/>
        <color theme="0"/>
        <rFont val="Calibri"/>
        <family val="2"/>
        <scheme val="minor"/>
      </rPr>
      <t>5</t>
    </r>
  </si>
  <si>
    <r>
      <t>Unified National Number or KSA Commercial registration number</t>
    </r>
    <r>
      <rPr>
        <b/>
        <vertAlign val="superscript"/>
        <sz val="11"/>
        <color theme="0"/>
        <rFont val="Calibri"/>
        <family val="2"/>
        <scheme val="minor"/>
      </rPr>
      <t>4</t>
    </r>
  </si>
  <si>
    <r>
      <t>Full name</t>
    </r>
    <r>
      <rPr>
        <b/>
        <vertAlign val="superscript"/>
        <sz val="11"/>
        <color theme="0"/>
        <rFont val="Calibri"/>
        <family val="2"/>
      </rPr>
      <t>2,3</t>
    </r>
  </si>
  <si>
    <r>
      <t>Audited Score (%), 
If applicable</t>
    </r>
    <r>
      <rPr>
        <b/>
        <vertAlign val="superscript"/>
        <sz val="11"/>
        <color theme="0"/>
        <rFont val="Calibri"/>
        <family val="2"/>
      </rPr>
      <t>6</t>
    </r>
  </si>
  <si>
    <r>
      <t>Total Expenses (SAR)</t>
    </r>
    <r>
      <rPr>
        <b/>
        <vertAlign val="superscript"/>
        <sz val="11"/>
        <color theme="0"/>
        <rFont val="Calibri"/>
        <family val="2"/>
      </rPr>
      <t>7</t>
    </r>
  </si>
  <si>
    <t>Has the required percentage or number of suppliers been covered?</t>
  </si>
  <si>
    <t>Total depreciation and amortization (SAR)</t>
  </si>
  <si>
    <t>Contribution to Local Content  (SAR)</t>
  </si>
  <si>
    <t>Local Content Score  (%)</t>
  </si>
  <si>
    <t>6.1 Depreciation and Amortization of Assets in the Kingdom of Saudi Arabia</t>
  </si>
  <si>
    <t>Contract Information</t>
  </si>
  <si>
    <t>Examples of Assets in Productive Asset class</t>
  </si>
  <si>
    <t>Local Assets</t>
  </si>
  <si>
    <t>Foreign Assets</t>
  </si>
  <si>
    <r>
      <t>Local Content contribution (SAR)</t>
    </r>
    <r>
      <rPr>
        <b/>
        <vertAlign val="superscript"/>
        <sz val="11"/>
        <color theme="0"/>
        <rFont val="Calibri"/>
        <family val="2"/>
        <scheme val="minor"/>
      </rPr>
      <t>1</t>
    </r>
  </si>
  <si>
    <r>
      <t>Building and Land Improvements</t>
    </r>
    <r>
      <rPr>
        <vertAlign val="superscript"/>
        <sz val="11"/>
        <color theme="1"/>
        <rFont val="Calibri"/>
        <family val="2"/>
        <scheme val="minor"/>
      </rPr>
      <t>2</t>
    </r>
  </si>
  <si>
    <t>Furniture and Fixtures</t>
  </si>
  <si>
    <t>Machinery and Equipment</t>
  </si>
  <si>
    <t>Vehicles</t>
  </si>
  <si>
    <t>Infrastructure</t>
  </si>
  <si>
    <t>Infrastructure works such as road networks, energy, and water</t>
  </si>
  <si>
    <t>Investment properties</t>
  </si>
  <si>
    <t>Real estate assets such as residential buildings and commercial buildings</t>
  </si>
  <si>
    <t>Right-of-Use for leases, machinery, equipment, and vehicles</t>
  </si>
  <si>
    <t>Lease agreements for buildings, equipment, and vehicles</t>
  </si>
  <si>
    <t>Right-of-Use for Systems and Applications</t>
  </si>
  <si>
    <t>License to use computer software, systems</t>
  </si>
  <si>
    <t>Other (Please describe)</t>
  </si>
  <si>
    <t xml:space="preserve">Total depreciation and amortization </t>
  </si>
  <si>
    <t>1. Local Content Score for assets manufactured in the KSA, and 30% for assets manufactured outside KSA.</t>
  </si>
  <si>
    <t>2. All depreciataion related to this category is considered 100% local content as long as they are located in KSA.</t>
  </si>
  <si>
    <t>Section 6: Depreciation and Amortization</t>
  </si>
  <si>
    <t>6.2 Depreciation and Amortization by Asset class in the Kingdom of Saudi Arabia</t>
  </si>
  <si>
    <t>V.2</t>
  </si>
  <si>
    <t>OM-LRF-08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</si>
</sst>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SAR]\ * #,##0_);_([$SAR]\ * \(#,##0\);_([$SAR]\ * &quot;-&quot;??_);_(@_)"/>
    <numFmt numFmtId="165" formatCode="0.0%_);\(0.0%\)"/>
    <numFmt numFmtId="166" formatCode="#,##0.0_);\(#,##0.0\);0.0_);@_)"/>
    <numFmt numFmtId="167" formatCode="[$-409]mmmm\ d\,\ yyyy;@"/>
    <numFmt numFmtId="168" formatCode="[$SAR]\ #,##0.00"/>
    <numFmt numFmtId="169" formatCode="_([$SAR]\ * #,##0.00_);_([$SAR]\ * \(#,##0.00\);_([$SAR]\ * &quot;-&quot;??_);_(@_)"/>
  </numFmts>
  <fonts count="33">
    <font>
      <sz val="11"/>
      <color theme="1"/>
      <name val="Calibri"/>
      <family val="2"/>
      <scheme val="minor"/>
    </font>
    <font>
      <sz val="10"/>
      <name val="Arial"/>
      <family val="2"/>
    </font>
    <font>
      <b/>
      <vertAlign val="superscript"/>
      <sz val="16"/>
      <color indexed="9"/>
      <name val="Calibri"/>
      <family val="2"/>
    </font>
    <font>
      <sz val="11"/>
      <color theme="1"/>
      <name val="Calibri"/>
      <family val="2"/>
      <scheme val="minor"/>
    </font>
    <font>
      <b/>
      <sz val="11"/>
      <color theme="0"/>
      <name val="Calibri"/>
      <family val="2"/>
      <scheme val="minor"/>
    </font>
    <font>
      <sz val="10"/>
      <color rgb="FF0000FF"/>
      <name val="Arial"/>
      <family val="2"/>
    </font>
    <font>
      <b/>
      <sz val="11"/>
      <color theme="1"/>
      <name val="Calibri"/>
      <family val="2"/>
      <scheme val="minor"/>
    </font>
    <font>
      <i/>
      <sz val="11"/>
      <color theme="1"/>
      <name val="Calibri"/>
      <family val="2"/>
      <scheme val="minor"/>
    </font>
    <font>
      <sz val="11"/>
      <name val="Calibri"/>
      <family val="2"/>
      <scheme val="minor"/>
    </font>
    <font>
      <b/>
      <sz val="22"/>
      <color theme="1"/>
      <name val="Calibri"/>
      <family val="2"/>
      <scheme val="minor"/>
    </font>
    <font>
      <b/>
      <sz val="16"/>
      <color theme="0"/>
      <name val="Calibri"/>
      <family val="2"/>
      <scheme val="minor"/>
    </font>
    <font>
      <u/>
      <sz val="11"/>
      <color theme="10"/>
      <name val="Calibri"/>
      <family val="2"/>
      <scheme val="minor"/>
    </font>
    <font>
      <sz val="11"/>
      <color theme="0"/>
      <name val="Calibri"/>
      <family val="2"/>
      <scheme val="minor"/>
    </font>
    <font>
      <b/>
      <sz val="11"/>
      <color theme="0"/>
      <name val="Calibri"/>
      <family val="2"/>
    </font>
    <font>
      <b/>
      <vertAlign val="superscript"/>
      <sz val="11"/>
      <color theme="0"/>
      <name val="Calibri"/>
      <family val="2"/>
      <scheme val="minor"/>
    </font>
    <font>
      <b/>
      <vertAlign val="superscript"/>
      <sz val="11"/>
      <color theme="0"/>
      <name val="Calibri"/>
      <family val="2"/>
    </font>
    <font>
      <b/>
      <sz val="16"/>
      <color theme="1"/>
      <name val="Calibri"/>
      <family val="2"/>
      <scheme val="minor"/>
    </font>
    <font>
      <b/>
      <sz val="20"/>
      <color theme="1"/>
      <name val="Calibri"/>
      <family val="2"/>
      <scheme val="minor"/>
    </font>
    <font>
      <sz val="11"/>
      <color rgb="FFFF0000"/>
      <name val="Calibri"/>
      <family val="2"/>
      <scheme val="minor"/>
    </font>
    <font>
      <b/>
      <sz val="10"/>
      <color indexed="18"/>
      <name val="Arial"/>
      <family val="2"/>
    </font>
    <font>
      <sz val="11"/>
      <color theme="1"/>
      <name val="Calibri"/>
      <family val="2"/>
      <charset val="178"/>
      <scheme val="minor"/>
    </font>
    <font>
      <sz val="10"/>
      <color theme="1"/>
      <name val="DIN Next LT Arabic"/>
      <family val="2"/>
    </font>
    <font>
      <b/>
      <vertAlign val="superscript"/>
      <sz val="11"/>
      <color rgb="FFFFFFFF"/>
      <name val="Calibri"/>
      <family val="2"/>
    </font>
    <font>
      <sz val="9"/>
      <color theme="1"/>
      <name val="Calibri"/>
      <family val="2"/>
      <scheme val="minor"/>
    </font>
    <font>
      <sz val="10"/>
      <color theme="1" tint="0.499984740745262"/>
      <name val="Calibri"/>
      <family val="2"/>
      <scheme val="minor"/>
    </font>
    <font>
      <b/>
      <sz val="12"/>
      <color theme="0"/>
      <name val="Calibri"/>
      <family val="2"/>
      <scheme val="minor"/>
    </font>
    <font>
      <sz val="10"/>
      <color theme="0"/>
      <name val="Calibri"/>
      <family val="2"/>
      <scheme val="minor"/>
    </font>
    <font>
      <sz val="10"/>
      <name val="Calibri"/>
      <family val="2"/>
      <scheme val="minor"/>
    </font>
    <font>
      <sz val="10"/>
      <color theme="1"/>
      <name val="Calibri"/>
      <family val="2"/>
      <scheme val="minor"/>
    </font>
    <font>
      <b/>
      <sz val="10"/>
      <color theme="0"/>
      <name val="Calibri"/>
      <family val="2"/>
      <scheme val="minor"/>
    </font>
    <font>
      <vertAlign val="superscript"/>
      <sz val="11"/>
      <color theme="1"/>
      <name val="Calibri"/>
      <family val="2"/>
      <scheme val="minor"/>
    </font>
    <font>
      <b/>
      <sz val="14"/>
      <color theme="1"/>
      <name val="DIN Next LT Arabic"/>
      <family val="2"/>
    </font>
    <font>
      <i/>
      <sz val="11"/>
      <color rgb="FFFF0000"/>
      <name val="Calibri"/>
      <family val="2"/>
      <scheme val="minor"/>
    </font>
  </fonts>
  <fills count="11">
    <fill>
      <patternFill patternType="none"/>
    </fill>
    <fill>
      <patternFill patternType="gray125"/>
    </fill>
    <fill>
      <patternFill patternType="solid">
        <fgColor rgb="FFFFFF66"/>
        <bgColor indexed="64"/>
      </patternFill>
    </fill>
    <fill>
      <patternFill patternType="solid">
        <fgColor theme="0" tint="-0.499984740745262"/>
        <bgColor indexed="64"/>
      </patternFill>
    </fill>
    <fill>
      <patternFill patternType="solid">
        <fgColor theme="0"/>
        <bgColor indexed="64"/>
      </patternFill>
    </fill>
    <fill>
      <patternFill patternType="solid">
        <fgColor rgb="FF16284D"/>
        <bgColor indexed="64"/>
      </patternFill>
    </fill>
    <fill>
      <patternFill patternType="solid">
        <fgColor theme="3" tint="0.79998168889431442"/>
        <bgColor indexed="64"/>
      </patternFill>
    </fill>
    <fill>
      <patternFill patternType="solid">
        <fgColor rgb="FF35617C"/>
        <bgColor indexed="64"/>
      </patternFill>
    </fill>
    <fill>
      <patternFill patternType="solid">
        <fgColor indexed="44"/>
        <bgColor indexed="64"/>
      </patternFill>
    </fill>
    <fill>
      <patternFill patternType="solid">
        <fgColor rgb="FFD6DCE4"/>
        <bgColor indexed="64"/>
      </patternFill>
    </fill>
    <fill>
      <patternFill patternType="solid">
        <fgColor theme="3" tint="0.79998168889431442"/>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right style="dotted">
        <color indexed="64"/>
      </right>
      <top/>
      <bottom style="dotted">
        <color indexed="64"/>
      </bottom>
      <diagonal/>
    </border>
    <border>
      <left style="dotted">
        <color indexed="64"/>
      </left>
      <right/>
      <top/>
      <bottom style="dotted">
        <color indexed="64"/>
      </bottom>
      <diagonal/>
    </border>
    <border>
      <left style="dotted">
        <color indexed="64"/>
      </left>
      <right/>
      <top/>
      <bottom/>
      <diagonal/>
    </border>
    <border>
      <left/>
      <right style="dotted">
        <color indexed="64"/>
      </right>
      <top/>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top style="dotted">
        <color indexed="64"/>
      </top>
      <bottom style="dotted">
        <color indexed="64"/>
      </bottom>
      <diagonal/>
    </border>
    <border>
      <left style="dotted">
        <color indexed="64"/>
      </left>
      <right style="dotted">
        <color indexed="64"/>
      </right>
      <top style="dotted">
        <color indexed="64"/>
      </top>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medium">
        <color indexed="64"/>
      </right>
      <top style="dotted">
        <color indexed="64"/>
      </top>
      <bottom style="dotted">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style="thin">
        <color indexed="18"/>
      </left>
      <right style="thin">
        <color indexed="18"/>
      </right>
      <top style="hair">
        <color indexed="18"/>
      </top>
      <bottom style="thin">
        <color indexed="18"/>
      </bottom>
      <diagonal/>
    </border>
    <border>
      <left style="thin">
        <color indexed="18"/>
      </left>
      <right style="thin">
        <color indexed="18"/>
      </right>
      <top style="hair">
        <color indexed="18"/>
      </top>
      <bottom style="hair">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hair">
        <color indexed="18"/>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medium">
        <color indexed="64"/>
      </left>
      <right style="dotted">
        <color indexed="64"/>
      </right>
      <top style="hair">
        <color indexed="64"/>
      </top>
      <bottom style="dotted">
        <color indexed="64"/>
      </bottom>
      <diagonal/>
    </border>
    <border>
      <left style="medium">
        <color indexed="64"/>
      </left>
      <right style="dotted">
        <color indexed="64"/>
      </right>
      <top style="medium">
        <color indexed="64"/>
      </top>
      <bottom/>
      <diagonal/>
    </border>
    <border>
      <left style="dotted">
        <color theme="1"/>
      </left>
      <right/>
      <top style="dotted">
        <color theme="1"/>
      </top>
      <bottom style="dotted">
        <color theme="1"/>
      </bottom>
      <diagonal/>
    </border>
    <border>
      <left/>
      <right style="dotted">
        <color theme="1"/>
      </right>
      <top style="dotted">
        <color theme="1"/>
      </top>
      <bottom style="dotted">
        <color theme="1"/>
      </bottom>
      <diagonal/>
    </border>
    <border>
      <left style="dotted">
        <color indexed="64"/>
      </left>
      <right style="dotted">
        <color indexed="64"/>
      </right>
      <top/>
      <bottom style="dotted">
        <color indexed="64"/>
      </bottom>
      <diagonal/>
    </border>
  </borders>
  <cellStyleXfs count="13">
    <xf numFmtId="0" fontId="0" fillId="0" borderId="0"/>
    <xf numFmtId="165" fontId="5" fillId="2" borderId="1" applyNumberFormat="0" applyFill="0" applyBorder="0" applyAlignment="0" applyProtection="0"/>
    <xf numFmtId="9" fontId="3" fillId="0" borderId="0" applyFont="0" applyFill="0" applyBorder="0" applyAlignment="0" applyProtection="0"/>
    <xf numFmtId="0" fontId="11" fillId="0" borderId="0" applyNumberFormat="0" applyFill="0" applyBorder="0" applyAlignment="0" applyProtection="0"/>
    <xf numFmtId="43" fontId="3" fillId="0" borderId="0" applyFont="0" applyFill="0" applyBorder="0" applyAlignment="0" applyProtection="0"/>
    <xf numFmtId="0" fontId="1" fillId="0" borderId="24" applyNumberFormat="0" applyFill="0" applyProtection="0"/>
    <xf numFmtId="0" fontId="1" fillId="0" borderId="26" applyNumberFormat="0" applyFill="0" applyProtection="0"/>
    <xf numFmtId="0" fontId="1" fillId="0" borderId="23" applyNumberFormat="0" applyFill="0" applyProtection="0"/>
    <xf numFmtId="0" fontId="19" fillId="0" borderId="25" applyNumberFormat="0">
      <alignment horizontal="center" vertical="center" wrapText="1"/>
    </xf>
    <xf numFmtId="0" fontId="19" fillId="8" borderId="25" applyNumberFormat="0" applyProtection="0">
      <alignment horizontal="centerContinuous" vertical="center" wrapText="1"/>
    </xf>
    <xf numFmtId="0" fontId="3" fillId="0" borderId="25" applyNumberFormat="0" applyFill="0" applyAlignment="0" applyProtection="0"/>
    <xf numFmtId="0" fontId="19" fillId="0" borderId="25" applyNumberFormat="0" applyProtection="0">
      <alignment horizontal="left" vertical="center" wrapText="1"/>
    </xf>
    <xf numFmtId="0" fontId="20" fillId="0" borderId="0"/>
  </cellStyleXfs>
  <cellXfs count="204">
    <xf numFmtId="0" fontId="0" fillId="0" borderId="0" xfId="0"/>
    <xf numFmtId="0" fontId="0" fillId="0" borderId="0" xfId="0" applyAlignment="1">
      <alignment vertical="center"/>
    </xf>
    <xf numFmtId="0" fontId="7" fillId="0" borderId="0" xfId="0" applyFont="1"/>
    <xf numFmtId="164" fontId="0" fillId="0" borderId="0" xfId="0" applyNumberFormat="1"/>
    <xf numFmtId="0" fontId="8" fillId="0" borderId="0" xfId="0" applyFont="1"/>
    <xf numFmtId="0" fontId="6" fillId="0" borderId="0" xfId="0" applyFont="1" applyAlignment="1">
      <alignment vertical="center"/>
    </xf>
    <xf numFmtId="0" fontId="9" fillId="0" borderId="0" xfId="0" applyFont="1"/>
    <xf numFmtId="0" fontId="0" fillId="0" borderId="0" xfId="0" quotePrefix="1" applyAlignment="1">
      <alignment horizontal="right" vertical="center"/>
    </xf>
    <xf numFmtId="0" fontId="0" fillId="0" borderId="0" xfId="0" applyAlignment="1">
      <alignment horizontal="center"/>
    </xf>
    <xf numFmtId="0" fontId="6" fillId="0" borderId="0" xfId="0" applyFont="1"/>
    <xf numFmtId="9" fontId="3" fillId="0" borderId="0" xfId="2" applyFont="1" applyProtection="1"/>
    <xf numFmtId="0" fontId="9" fillId="0" borderId="0" xfId="0" applyFont="1" applyAlignment="1">
      <alignment vertical="center"/>
    </xf>
    <xf numFmtId="0" fontId="0" fillId="0" borderId="2" xfId="0" applyBorder="1" applyProtection="1">
      <protection locked="0"/>
    </xf>
    <xf numFmtId="9" fontId="0" fillId="0" borderId="2" xfId="0" applyNumberFormat="1" applyBorder="1" applyAlignment="1" applyProtection="1">
      <alignment horizontal="center"/>
      <protection locked="0"/>
    </xf>
    <xf numFmtId="169" fontId="0" fillId="0" borderId="2" xfId="0" applyNumberFormat="1" applyBorder="1" applyAlignment="1" applyProtection="1">
      <alignment vertical="center"/>
      <protection locked="0"/>
    </xf>
    <xf numFmtId="169" fontId="0" fillId="0" borderId="2" xfId="0" applyNumberFormat="1" applyBorder="1" applyProtection="1">
      <protection locked="0"/>
    </xf>
    <xf numFmtId="0" fontId="11" fillId="0" borderId="0" xfId="3"/>
    <xf numFmtId="1" fontId="0" fillId="0" borderId="0" xfId="0" applyNumberFormat="1" applyAlignment="1">
      <alignment horizontal="left"/>
    </xf>
    <xf numFmtId="0" fontId="8" fillId="0" borderId="0" xfId="0" applyFont="1" applyAlignment="1">
      <alignment horizontal="left" vertical="center" indent="1"/>
    </xf>
    <xf numFmtId="0" fontId="4" fillId="7" borderId="2" xfId="0" applyFont="1" applyFill="1" applyBorder="1" applyAlignment="1">
      <alignment vertical="center" wrapText="1"/>
    </xf>
    <xf numFmtId="0" fontId="4" fillId="7" borderId="2" xfId="0" applyFont="1" applyFill="1" applyBorder="1" applyAlignment="1">
      <alignment vertical="center"/>
    </xf>
    <xf numFmtId="0" fontId="4" fillId="7" borderId="11" xfId="0" applyFont="1" applyFill="1" applyBorder="1" applyAlignment="1">
      <alignment vertical="center"/>
    </xf>
    <xf numFmtId="0" fontId="4" fillId="7" borderId="11" xfId="0" applyFont="1" applyFill="1" applyBorder="1" applyAlignment="1">
      <alignment horizontal="left" vertical="center"/>
    </xf>
    <xf numFmtId="0" fontId="12" fillId="7" borderId="2" xfId="0" applyFont="1" applyFill="1" applyBorder="1" applyAlignment="1">
      <alignment vertical="center"/>
    </xf>
    <xf numFmtId="0" fontId="4" fillId="7" borderId="8" xfId="0" applyFont="1" applyFill="1" applyBorder="1" applyAlignment="1">
      <alignment vertical="center"/>
    </xf>
    <xf numFmtId="0" fontId="4" fillId="7" borderId="9" xfId="0" applyFont="1" applyFill="1" applyBorder="1" applyAlignment="1">
      <alignment vertical="center"/>
    </xf>
    <xf numFmtId="0" fontId="4" fillId="7" borderId="10" xfId="0" applyFont="1" applyFill="1" applyBorder="1" applyAlignment="1">
      <alignment vertical="center"/>
    </xf>
    <xf numFmtId="0" fontId="6" fillId="6" borderId="2" xfId="0" applyFont="1" applyFill="1" applyBorder="1" applyAlignment="1">
      <alignment vertical="center"/>
    </xf>
    <xf numFmtId="0" fontId="4"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9" fontId="6" fillId="6" borderId="2" xfId="2" applyFont="1" applyFill="1" applyBorder="1" applyAlignment="1" applyProtection="1">
      <alignment horizontal="center" vertical="center"/>
    </xf>
    <xf numFmtId="169" fontId="6" fillId="6" borderId="2" xfId="0" applyNumberFormat="1" applyFont="1" applyFill="1" applyBorder="1" applyAlignment="1">
      <alignment vertical="center"/>
    </xf>
    <xf numFmtId="164" fontId="6" fillId="6" borderId="2" xfId="0" applyNumberFormat="1" applyFont="1" applyFill="1" applyBorder="1" applyAlignment="1">
      <alignment horizontal="center" vertical="center"/>
    </xf>
    <xf numFmtId="9" fontId="3" fillId="6" borderId="2" xfId="2" applyFont="1" applyFill="1" applyBorder="1" applyAlignment="1" applyProtection="1">
      <alignment horizontal="center"/>
    </xf>
    <xf numFmtId="9" fontId="6" fillId="6" borderId="2" xfId="2" applyFont="1" applyFill="1" applyBorder="1" applyAlignment="1" applyProtection="1">
      <alignment horizontal="center"/>
    </xf>
    <xf numFmtId="169" fontId="6" fillId="6" borderId="2" xfId="0" applyNumberFormat="1" applyFont="1" applyFill="1" applyBorder="1"/>
    <xf numFmtId="169" fontId="0" fillId="6" borderId="2" xfId="0" applyNumberFormat="1" applyFill="1" applyBorder="1"/>
    <xf numFmtId="0" fontId="0" fillId="6" borderId="2" xfId="0" applyFill="1" applyBorder="1" applyAlignment="1">
      <alignment horizontal="left" vertical="center"/>
    </xf>
    <xf numFmtId="49" fontId="0" fillId="6" borderId="2" xfId="0" applyNumberFormat="1" applyFill="1" applyBorder="1" applyAlignment="1">
      <alignment horizontal="left" vertical="center"/>
    </xf>
    <xf numFmtId="167" fontId="0" fillId="6" borderId="2" xfId="0" applyNumberFormat="1" applyFill="1" applyBorder="1" applyAlignment="1">
      <alignment horizontal="left" vertical="center"/>
    </xf>
    <xf numFmtId="0" fontId="10" fillId="5" borderId="0" xfId="0" quotePrefix="1" applyFont="1" applyFill="1" applyAlignment="1">
      <alignment vertical="center"/>
    </xf>
    <xf numFmtId="0" fontId="4" fillId="7" borderId="11" xfId="0" applyFont="1" applyFill="1" applyBorder="1" applyAlignment="1">
      <alignment horizontal="center" vertical="center" wrapText="1"/>
    </xf>
    <xf numFmtId="164" fontId="0" fillId="6" borderId="12" xfId="0" applyNumberFormat="1" applyFill="1" applyBorder="1" applyAlignment="1">
      <alignment horizontal="left" vertical="center"/>
    </xf>
    <xf numFmtId="0" fontId="10" fillId="5" borderId="0" xfId="0" applyFont="1" applyFill="1"/>
    <xf numFmtId="0" fontId="10" fillId="5" borderId="0" xfId="0" applyFont="1" applyFill="1" applyAlignment="1">
      <alignment wrapText="1"/>
    </xf>
    <xf numFmtId="0" fontId="4" fillId="5" borderId="0" xfId="0" quotePrefix="1" applyFont="1" applyFill="1" applyAlignment="1">
      <alignment horizontal="left" vertical="center"/>
    </xf>
    <xf numFmtId="0" fontId="10" fillId="5" borderId="0" xfId="0" applyFont="1" applyFill="1" applyAlignment="1">
      <alignment horizontal="left"/>
    </xf>
    <xf numFmtId="0" fontId="10" fillId="5" borderId="0" xfId="0" applyFont="1" applyFill="1" applyAlignment="1">
      <alignment horizontal="left" wrapText="1"/>
    </xf>
    <xf numFmtId="0" fontId="4" fillId="7" borderId="11" xfId="0" applyFont="1" applyFill="1" applyBorder="1" applyAlignment="1">
      <alignment horizontal="center" vertical="center"/>
    </xf>
    <xf numFmtId="0" fontId="6" fillId="6" borderId="2" xfId="0" applyFont="1" applyFill="1" applyBorder="1"/>
    <xf numFmtId="9" fontId="0" fillId="6" borderId="2" xfId="2" applyFont="1" applyFill="1" applyBorder="1" applyAlignment="1" applyProtection="1">
      <alignment wrapText="1"/>
    </xf>
    <xf numFmtId="0" fontId="6" fillId="6" borderId="2" xfId="0" quotePrefix="1" applyFont="1" applyFill="1" applyBorder="1"/>
    <xf numFmtId="9" fontId="0" fillId="6" borderId="11" xfId="2" applyFont="1" applyFill="1" applyBorder="1" applyAlignment="1" applyProtection="1">
      <alignment wrapText="1"/>
    </xf>
    <xf numFmtId="1" fontId="4" fillId="7" borderId="11" xfId="0" applyNumberFormat="1" applyFont="1" applyFill="1" applyBorder="1" applyAlignment="1">
      <alignment horizontal="center" vertical="center"/>
    </xf>
    <xf numFmtId="1" fontId="10" fillId="5" borderId="0" xfId="0" applyNumberFormat="1" applyFont="1" applyFill="1" applyAlignment="1">
      <alignment horizontal="left" wrapText="1"/>
    </xf>
    <xf numFmtId="168" fontId="0" fillId="0" borderId="0" xfId="0" applyNumberFormat="1"/>
    <xf numFmtId="168" fontId="0" fillId="6" borderId="2" xfId="0" applyNumberFormat="1" applyFill="1" applyBorder="1" applyAlignment="1">
      <alignment horizontal="left" vertical="center"/>
    </xf>
    <xf numFmtId="0" fontId="18" fillId="0" borderId="0" xfId="0" applyFont="1"/>
    <xf numFmtId="169" fontId="0" fillId="0" borderId="0" xfId="0" applyNumberFormat="1" applyProtection="1">
      <protection locked="0"/>
    </xf>
    <xf numFmtId="0" fontId="10" fillId="0" borderId="0" xfId="0" applyFont="1" applyAlignment="1">
      <alignment vertical="center"/>
    </xf>
    <xf numFmtId="164" fontId="0" fillId="0" borderId="0" xfId="0" applyNumberFormat="1" applyAlignment="1">
      <alignment horizontal="left" vertical="center"/>
    </xf>
    <xf numFmtId="0" fontId="0" fillId="0" borderId="0" xfId="0" applyAlignment="1">
      <alignment horizontal="right" readingOrder="2"/>
    </xf>
    <xf numFmtId="0" fontId="4" fillId="0" borderId="0" xfId="0" applyFont="1" applyAlignment="1">
      <alignment vertical="center"/>
    </xf>
    <xf numFmtId="9" fontId="0" fillId="6" borderId="2" xfId="2" applyFont="1" applyFill="1" applyBorder="1" applyAlignment="1" applyProtection="1">
      <alignment vertical="top"/>
    </xf>
    <xf numFmtId="10" fontId="6" fillId="6" borderId="2" xfId="2" applyNumberFormat="1" applyFont="1" applyFill="1" applyBorder="1" applyAlignment="1" applyProtection="1">
      <alignment horizontal="center" vertical="center"/>
    </xf>
    <xf numFmtId="9" fontId="0" fillId="6" borderId="2" xfId="2" applyFont="1" applyFill="1" applyBorder="1" applyAlignment="1" applyProtection="1">
      <alignment horizontal="center"/>
    </xf>
    <xf numFmtId="1" fontId="23" fillId="6" borderId="2" xfId="2" applyNumberFormat="1" applyFont="1" applyFill="1" applyBorder="1" applyAlignment="1" applyProtection="1">
      <alignment horizontal="left" wrapText="1"/>
    </xf>
    <xf numFmtId="9" fontId="0" fillId="6" borderId="2" xfId="2" applyFont="1" applyFill="1" applyBorder="1" applyAlignment="1" applyProtection="1">
      <alignment horizontal="center" vertical="center"/>
    </xf>
    <xf numFmtId="9" fontId="0" fillId="6" borderId="2" xfId="2" applyFont="1" applyFill="1" applyBorder="1" applyAlignment="1" applyProtection="1">
      <alignment vertical="center" wrapText="1"/>
    </xf>
    <xf numFmtId="1" fontId="23" fillId="6" borderId="2" xfId="2" applyNumberFormat="1" applyFont="1" applyFill="1" applyBorder="1" applyAlignment="1" applyProtection="1">
      <alignment horizontal="left" vertical="center" wrapText="1"/>
    </xf>
    <xf numFmtId="0" fontId="24" fillId="0" borderId="27" xfId="12" applyFont="1" applyBorder="1" applyAlignment="1">
      <alignment horizontal="center" vertical="center" wrapText="1" readingOrder="2"/>
    </xf>
    <xf numFmtId="0" fontId="25" fillId="5" borderId="0" xfId="0" applyFont="1" applyFill="1" applyAlignment="1">
      <alignment vertical="center"/>
    </xf>
    <xf numFmtId="0" fontId="26" fillId="5" borderId="0" xfId="0" applyFont="1" applyFill="1"/>
    <xf numFmtId="0" fontId="12" fillId="5" borderId="0" xfId="0" applyFont="1" applyFill="1"/>
    <xf numFmtId="0" fontId="25" fillId="5" borderId="0" xfId="0" applyFont="1" applyFill="1"/>
    <xf numFmtId="0" fontId="0" fillId="0" borderId="6" xfId="0" applyBorder="1"/>
    <xf numFmtId="0" fontId="0" fillId="0" borderId="7" xfId="0" applyBorder="1"/>
    <xf numFmtId="166" fontId="12" fillId="5" borderId="2" xfId="1" applyNumberFormat="1" applyFont="1" applyFill="1" applyBorder="1" applyAlignment="1" applyProtection="1">
      <alignment horizontal="center"/>
    </xf>
    <xf numFmtId="166" fontId="12" fillId="7" borderId="2" xfId="1" applyNumberFormat="1" applyFont="1" applyFill="1" applyBorder="1" applyAlignment="1" applyProtection="1">
      <alignment horizontal="center"/>
    </xf>
    <xf numFmtId="166" fontId="8" fillId="6" borderId="2" xfId="1" applyNumberFormat="1" applyFont="1" applyFill="1" applyBorder="1" applyAlignment="1" applyProtection="1">
      <alignment horizontal="center"/>
    </xf>
    <xf numFmtId="166" fontId="8" fillId="0" borderId="2" xfId="1" applyNumberFormat="1" applyFont="1" applyFill="1" applyBorder="1" applyAlignment="1" applyProtection="1">
      <alignment horizontal="center"/>
    </xf>
    <xf numFmtId="0" fontId="0" fillId="0" borderId="0" xfId="0" applyAlignment="1">
      <alignment horizontal="left" vertical="center" indent="1"/>
    </xf>
    <xf numFmtId="166" fontId="8" fillId="3" borderId="2" xfId="1" applyNumberFormat="1" applyFont="1" applyFill="1" applyBorder="1" applyAlignment="1" applyProtection="1">
      <alignment horizontal="center"/>
    </xf>
    <xf numFmtId="0" fontId="0" fillId="0" borderId="5" xfId="0" applyBorder="1"/>
    <xf numFmtId="166" fontId="27" fillId="0" borderId="3" xfId="1" applyNumberFormat="1" applyFont="1" applyFill="1" applyBorder="1" applyAlignment="1" applyProtection="1">
      <alignment horizontal="center"/>
    </xf>
    <xf numFmtId="0" fontId="28" fillId="0" borderId="3" xfId="0" applyFont="1" applyBorder="1" applyAlignment="1">
      <alignment horizontal="left" indent="1"/>
    </xf>
    <xf numFmtId="0" fontId="0" fillId="0" borderId="4" xfId="0" applyBorder="1"/>
    <xf numFmtId="0" fontId="12" fillId="5" borderId="0" xfId="0" applyFont="1" applyFill="1" applyAlignment="1">
      <alignment vertical="center"/>
    </xf>
    <xf numFmtId="0" fontId="28" fillId="0" borderId="0" xfId="0" applyFont="1"/>
    <xf numFmtId="0" fontId="12" fillId="0" borderId="0" xfId="0" applyFont="1" applyAlignment="1">
      <alignment horizontal="left" vertical="center" readingOrder="2"/>
    </xf>
    <xf numFmtId="49" fontId="0" fillId="4" borderId="5" xfId="0" applyNumberFormat="1" applyFill="1" applyBorder="1" applyAlignment="1" applyProtection="1">
      <alignment horizontal="left" vertical="center"/>
      <protection locked="0"/>
    </xf>
    <xf numFmtId="49" fontId="0" fillId="4" borderId="4" xfId="0" applyNumberFormat="1" applyFill="1" applyBorder="1" applyAlignment="1" applyProtection="1">
      <alignment horizontal="left" vertical="center"/>
      <protection locked="0"/>
    </xf>
    <xf numFmtId="167" fontId="0" fillId="0" borderId="0" xfId="0" applyNumberFormat="1" applyAlignment="1" applyProtection="1">
      <alignment horizontal="left" vertical="center"/>
      <protection locked="0"/>
    </xf>
    <xf numFmtId="0" fontId="8" fillId="0" borderId="0" xfId="0" applyFont="1" applyAlignment="1">
      <alignment vertical="center"/>
    </xf>
    <xf numFmtId="0" fontId="12" fillId="0" borderId="0" xfId="0" applyFont="1" applyAlignment="1" applyProtection="1">
      <alignment horizontal="left" vertical="center"/>
      <protection locked="0"/>
    </xf>
    <xf numFmtId="0" fontId="0" fillId="0" borderId="0" xfId="0" applyAlignment="1">
      <alignment horizontal="right" vertical="center" readingOrder="2"/>
    </xf>
    <xf numFmtId="0" fontId="12" fillId="0" borderId="0" xfId="0" applyFont="1" applyAlignment="1">
      <alignment horizontal="right" vertical="center" readingOrder="2"/>
    </xf>
    <xf numFmtId="0" fontId="12" fillId="0" borderId="0" xfId="0" applyFont="1" applyAlignment="1">
      <alignment vertical="center"/>
    </xf>
    <xf numFmtId="0" fontId="29" fillId="7" borderId="2" xfId="0" applyFont="1" applyFill="1" applyBorder="1" applyAlignment="1">
      <alignment horizontal="left" vertical="center" readingOrder="2"/>
    </xf>
    <xf numFmtId="0" fontId="29" fillId="7" borderId="14" xfId="0" applyFont="1" applyFill="1" applyBorder="1" applyAlignment="1">
      <alignment horizontal="center" vertical="center" readingOrder="2"/>
    </xf>
    <xf numFmtId="0" fontId="29" fillId="7" borderId="31" xfId="0" applyFont="1" applyFill="1" applyBorder="1" applyAlignment="1">
      <alignment horizontal="left" vertical="center" readingOrder="2"/>
    </xf>
    <xf numFmtId="0" fontId="29" fillId="7" borderId="30" xfId="0" quotePrefix="1" applyFont="1" applyFill="1" applyBorder="1" applyAlignment="1">
      <alignment horizontal="left" vertical="center" readingOrder="2"/>
    </xf>
    <xf numFmtId="0" fontId="29" fillId="7" borderId="10" xfId="0" applyFont="1" applyFill="1" applyBorder="1" applyAlignment="1">
      <alignment horizontal="left" vertical="center" readingOrder="1"/>
    </xf>
    <xf numFmtId="9" fontId="0" fillId="0" borderId="0" xfId="0" applyNumberFormat="1" applyAlignment="1">
      <alignment vertical="center"/>
    </xf>
    <xf numFmtId="0" fontId="0" fillId="9" borderId="11" xfId="0" applyFill="1" applyBorder="1" applyAlignment="1">
      <alignment horizontal="left" vertical="center" readingOrder="2"/>
    </xf>
    <xf numFmtId="169" fontId="0" fillId="6" borderId="2" xfId="0" applyNumberFormat="1" applyFill="1" applyBorder="1" applyAlignment="1">
      <alignment horizontal="left" vertical="center"/>
    </xf>
    <xf numFmtId="0" fontId="0" fillId="0" borderId="0" xfId="0" applyAlignment="1" applyProtection="1">
      <alignment horizontal="left" vertical="top"/>
      <protection locked="0"/>
    </xf>
    <xf numFmtId="0" fontId="12" fillId="0" borderId="0" xfId="0" applyFont="1" applyAlignment="1" applyProtection="1">
      <alignment vertical="center"/>
      <protection locked="0"/>
    </xf>
    <xf numFmtId="164" fontId="0" fillId="0" borderId="2" xfId="0" applyNumberFormat="1" applyBorder="1" applyAlignment="1" applyProtection="1">
      <alignment vertical="center"/>
      <protection locked="0"/>
    </xf>
    <xf numFmtId="1" fontId="0" fillId="0" borderId="2" xfId="0" applyNumberFormat="1" applyBorder="1" applyAlignment="1" applyProtection="1">
      <alignment horizontal="center" vertical="center"/>
      <protection locked="0"/>
    </xf>
    <xf numFmtId="1" fontId="6" fillId="6" borderId="2" xfId="0" applyNumberFormat="1" applyFont="1" applyFill="1" applyBorder="1" applyAlignment="1">
      <alignment horizontal="center" vertical="center"/>
    </xf>
    <xf numFmtId="0" fontId="21" fillId="6" borderId="2" xfId="0" applyFont="1" applyFill="1" applyBorder="1" applyAlignment="1" applyProtection="1">
      <alignment horizontal="right" vertical="center" wrapText="1" readingOrder="2"/>
      <protection locked="0"/>
    </xf>
    <xf numFmtId="0" fontId="4" fillId="7" borderId="0" xfId="0" applyFont="1" applyFill="1" applyAlignment="1">
      <alignment vertical="center"/>
    </xf>
    <xf numFmtId="0" fontId="0" fillId="0" borderId="0" xfId="0" applyAlignment="1" applyProtection="1">
      <alignment vertical="top"/>
      <protection locked="0"/>
    </xf>
    <xf numFmtId="164" fontId="0" fillId="4" borderId="2" xfId="0" applyNumberFormat="1" applyFill="1" applyBorder="1" applyAlignment="1" applyProtection="1">
      <alignment horizontal="left" vertical="center"/>
      <protection locked="0"/>
    </xf>
    <xf numFmtId="0" fontId="10" fillId="0" borderId="0" xfId="0" applyFont="1"/>
    <xf numFmtId="169" fontId="21" fillId="4" borderId="2" xfId="0" applyNumberFormat="1" applyFont="1" applyFill="1" applyBorder="1" applyAlignment="1" applyProtection="1">
      <alignment horizontal="center" vertical="center" readingOrder="2"/>
      <protection locked="0"/>
    </xf>
    <xf numFmtId="169" fontId="6" fillId="6" borderId="2" xfId="0" applyNumberFormat="1" applyFont="1" applyFill="1" applyBorder="1" applyAlignment="1">
      <alignment horizontal="center" vertical="center"/>
    </xf>
    <xf numFmtId="169" fontId="0" fillId="0" borderId="0" xfId="0" applyNumberFormat="1"/>
    <xf numFmtId="0" fontId="32" fillId="0" borderId="0" xfId="0" applyFont="1"/>
    <xf numFmtId="169" fontId="21" fillId="6" borderId="2" xfId="0" applyNumberFormat="1" applyFont="1" applyFill="1" applyBorder="1" applyAlignment="1">
      <alignment horizontal="center" vertical="center" readingOrder="2"/>
    </xf>
    <xf numFmtId="10" fontId="6" fillId="6" borderId="2" xfId="0" applyNumberFormat="1" applyFont="1" applyFill="1" applyBorder="1" applyAlignment="1">
      <alignment horizontal="center" vertical="center"/>
    </xf>
    <xf numFmtId="0" fontId="10" fillId="5" borderId="3" xfId="0" quotePrefix="1" applyFont="1" applyFill="1" applyBorder="1" applyAlignment="1">
      <alignment horizontal="left" vertical="center"/>
    </xf>
    <xf numFmtId="0" fontId="4" fillId="7" borderId="11" xfId="0" applyFont="1" applyFill="1" applyBorder="1" applyAlignment="1">
      <alignment horizontal="left" vertical="center"/>
    </xf>
    <xf numFmtId="0" fontId="4" fillId="7" borderId="14" xfId="0" applyFont="1" applyFill="1" applyBorder="1" applyAlignment="1">
      <alignment horizontal="left" vertical="center"/>
    </xf>
    <xf numFmtId="0" fontId="4" fillId="7" borderId="12" xfId="0" applyFont="1" applyFill="1" applyBorder="1" applyAlignment="1">
      <alignment horizontal="center" vertical="center" wrapText="1"/>
    </xf>
    <xf numFmtId="0" fontId="4" fillId="7" borderId="34" xfId="0" applyFont="1" applyFill="1" applyBorder="1" applyAlignment="1">
      <alignment horizontal="center" vertical="center" wrapText="1"/>
    </xf>
    <xf numFmtId="169" fontId="0" fillId="0" borderId="11" xfId="0" applyNumberFormat="1" applyBorder="1" applyAlignment="1" applyProtection="1">
      <alignment horizontal="center" vertical="center"/>
      <protection locked="0"/>
    </xf>
    <xf numFmtId="169" fontId="0" fillId="0" borderId="14" xfId="0" applyNumberFormat="1" applyBorder="1" applyAlignment="1" applyProtection="1">
      <alignment horizontal="center" vertical="center"/>
      <protection locked="0"/>
    </xf>
    <xf numFmtId="0" fontId="11" fillId="6" borderId="11" xfId="3" applyFill="1" applyBorder="1" applyAlignment="1">
      <alignment vertical="center"/>
    </xf>
    <xf numFmtId="0" fontId="11" fillId="6" borderId="13" xfId="3" applyFill="1" applyBorder="1" applyAlignment="1">
      <alignment vertical="center"/>
    </xf>
    <xf numFmtId="0" fontId="8" fillId="6" borderId="13" xfId="0" applyFont="1" applyFill="1" applyBorder="1" applyAlignment="1">
      <alignment vertical="center"/>
    </xf>
    <xf numFmtId="0" fontId="8" fillId="6" borderId="14" xfId="0" applyFont="1" applyFill="1" applyBorder="1" applyAlignment="1">
      <alignment vertical="center"/>
    </xf>
    <xf numFmtId="0" fontId="16" fillId="0" borderId="0" xfId="0" applyFont="1" applyAlignment="1">
      <alignment horizontal="center" vertical="center" wrapText="1"/>
    </xf>
    <xf numFmtId="0" fontId="8" fillId="6" borderId="5"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14" xfId="0" applyFont="1" applyFill="1" applyBorder="1" applyAlignment="1">
      <alignment horizontal="center" vertical="center" wrapText="1"/>
    </xf>
    <xf numFmtId="0" fontId="11" fillId="6" borderId="5" xfId="3" applyFill="1" applyBorder="1" applyAlignment="1">
      <alignment vertical="center"/>
    </xf>
    <xf numFmtId="0" fontId="11" fillId="6" borderId="3" xfId="3" applyFill="1" applyBorder="1" applyAlignment="1">
      <alignment vertical="center"/>
    </xf>
    <xf numFmtId="0" fontId="8" fillId="6" borderId="3" xfId="0" applyFont="1" applyFill="1" applyBorder="1" applyAlignment="1">
      <alignment vertical="center"/>
    </xf>
    <xf numFmtId="0" fontId="8" fillId="6" borderId="4" xfId="0" applyFont="1" applyFill="1" applyBorder="1" applyAlignment="1">
      <alignment vertical="center"/>
    </xf>
    <xf numFmtId="0" fontId="10" fillId="5" borderId="0" xfId="0" quotePrefix="1" applyFont="1" applyFill="1" applyAlignment="1">
      <alignment horizontal="left" vertical="center"/>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7" fontId="0" fillId="4" borderId="5" xfId="0" applyNumberFormat="1" applyFill="1" applyBorder="1" applyAlignment="1" applyProtection="1">
      <alignment horizontal="left" vertical="center"/>
      <protection locked="0"/>
    </xf>
    <xf numFmtId="167" fontId="0" fillId="4" borderId="4" xfId="0" applyNumberFormat="1" applyFill="1" applyBorder="1" applyAlignment="1" applyProtection="1">
      <alignment horizontal="left" vertical="center"/>
      <protection locked="0"/>
    </xf>
    <xf numFmtId="49" fontId="0" fillId="4" borderId="5" xfId="0" applyNumberFormat="1" applyFill="1" applyBorder="1" applyAlignment="1" applyProtection="1">
      <alignment horizontal="left" vertical="center"/>
      <protection locked="0"/>
    </xf>
    <xf numFmtId="49" fontId="0" fillId="4" borderId="4" xfId="0" applyNumberFormat="1" applyFill="1" applyBorder="1" applyAlignment="1" applyProtection="1">
      <alignment horizontal="left" vertical="center"/>
      <protection locked="0"/>
    </xf>
    <xf numFmtId="168" fontId="0" fillId="4" borderId="5" xfId="4" applyNumberFormat="1" applyFont="1" applyFill="1" applyBorder="1" applyAlignment="1" applyProtection="1">
      <alignment horizontal="left" vertical="center"/>
      <protection locked="0"/>
    </xf>
    <xf numFmtId="168" fontId="0" fillId="4" borderId="4" xfId="4" applyNumberFormat="1" applyFont="1" applyFill="1" applyBorder="1" applyAlignment="1" applyProtection="1">
      <alignment horizontal="left" vertical="center"/>
      <protection locked="0"/>
    </xf>
    <xf numFmtId="168" fontId="0" fillId="6" borderId="11" xfId="0" applyNumberFormat="1" applyFill="1" applyBorder="1" applyAlignment="1">
      <alignment horizontal="left"/>
    </xf>
    <xf numFmtId="168" fontId="0" fillId="6" borderId="13" xfId="0" applyNumberFormat="1" applyFill="1" applyBorder="1" applyAlignment="1">
      <alignment horizontal="left"/>
    </xf>
    <xf numFmtId="168" fontId="0" fillId="6" borderId="14" xfId="0" applyNumberFormat="1" applyFill="1" applyBorder="1" applyAlignment="1">
      <alignment horizontal="left"/>
    </xf>
    <xf numFmtId="0" fontId="4" fillId="7" borderId="11" xfId="0" applyFont="1" applyFill="1" applyBorder="1" applyAlignment="1">
      <alignment horizontal="center" vertical="center"/>
    </xf>
    <xf numFmtId="0" fontId="4" fillId="7" borderId="13" xfId="0" applyFont="1" applyFill="1" applyBorder="1" applyAlignment="1">
      <alignment horizontal="center" vertical="center"/>
    </xf>
    <xf numFmtId="0" fontId="10" fillId="5" borderId="0" xfId="0" applyFont="1" applyFill="1" applyAlignment="1">
      <alignment horizontal="left" vertical="center"/>
    </xf>
    <xf numFmtId="164" fontId="0" fillId="6" borderId="11" xfId="0" applyNumberFormat="1" applyFill="1" applyBorder="1" applyAlignment="1">
      <alignment horizontal="left" vertical="center"/>
    </xf>
    <xf numFmtId="164" fontId="0" fillId="6" borderId="13" xfId="0" applyNumberFormat="1" applyFill="1" applyBorder="1" applyAlignment="1">
      <alignment horizontal="left" vertical="center"/>
    </xf>
    <xf numFmtId="164" fontId="0" fillId="6" borderId="14" xfId="0" applyNumberFormat="1" applyFill="1" applyBorder="1" applyAlignment="1">
      <alignment horizontal="left" vertical="center"/>
    </xf>
    <xf numFmtId="9" fontId="6" fillId="6" borderId="15" xfId="2" applyFont="1" applyFill="1" applyBorder="1" applyAlignment="1" applyProtection="1">
      <alignment horizontal="center" vertical="center"/>
    </xf>
    <xf numFmtId="9" fontId="6" fillId="6" borderId="16" xfId="2" applyFont="1" applyFill="1" applyBorder="1" applyAlignment="1" applyProtection="1">
      <alignment horizontal="center" vertical="center"/>
    </xf>
    <xf numFmtId="164" fontId="0" fillId="6" borderId="20" xfId="0" applyNumberFormat="1" applyFill="1" applyBorder="1" applyAlignment="1">
      <alignment horizontal="left" vertical="center"/>
    </xf>
    <xf numFmtId="164" fontId="0" fillId="6" borderId="21" xfId="0" applyNumberFormat="1" applyFill="1" applyBorder="1" applyAlignment="1">
      <alignment horizontal="left" vertical="center"/>
    </xf>
    <xf numFmtId="164" fontId="0" fillId="6" borderId="22" xfId="0" applyNumberFormat="1" applyFill="1" applyBorder="1" applyAlignment="1">
      <alignment horizontal="left" vertical="center"/>
    </xf>
    <xf numFmtId="164" fontId="6" fillId="6" borderId="17" xfId="0" applyNumberFormat="1" applyFont="1" applyFill="1" applyBorder="1" applyAlignment="1">
      <alignment horizontal="left" vertical="center"/>
    </xf>
    <xf numFmtId="164" fontId="6" fillId="6" borderId="18" xfId="0" applyNumberFormat="1" applyFont="1" applyFill="1" applyBorder="1" applyAlignment="1">
      <alignment horizontal="left" vertical="center"/>
    </xf>
    <xf numFmtId="164" fontId="6" fillId="6" borderId="2" xfId="0" applyNumberFormat="1" applyFont="1" applyFill="1" applyBorder="1" applyAlignment="1">
      <alignment horizontal="left" vertical="center"/>
    </xf>
    <xf numFmtId="164" fontId="6" fillId="6" borderId="19" xfId="0" applyNumberFormat="1" applyFont="1" applyFill="1" applyBorder="1" applyAlignment="1">
      <alignment horizontal="left" vertical="center"/>
    </xf>
    <xf numFmtId="0" fontId="0" fillId="6" borderId="11" xfId="0" applyFill="1" applyBorder="1" applyAlignment="1">
      <alignment horizontal="left"/>
    </xf>
    <xf numFmtId="0" fontId="0" fillId="6" borderId="13" xfId="0" applyFill="1" applyBorder="1" applyAlignment="1">
      <alignment horizontal="left"/>
    </xf>
    <xf numFmtId="0" fontId="0" fillId="6" borderId="14" xfId="0" applyFill="1" applyBorder="1" applyAlignment="1">
      <alignment horizontal="left"/>
    </xf>
    <xf numFmtId="167" fontId="0" fillId="6" borderId="11" xfId="0" applyNumberFormat="1" applyFill="1" applyBorder="1" applyAlignment="1">
      <alignment horizontal="left"/>
    </xf>
    <xf numFmtId="167" fontId="0" fillId="6" borderId="13" xfId="0" applyNumberFormat="1" applyFill="1" applyBorder="1" applyAlignment="1">
      <alignment horizontal="left"/>
    </xf>
    <xf numFmtId="167" fontId="0" fillId="6" borderId="14" xfId="0" applyNumberFormat="1" applyFill="1" applyBorder="1" applyAlignment="1">
      <alignment horizontal="left"/>
    </xf>
    <xf numFmtId="0" fontId="0" fillId="0" borderId="0" xfId="0" applyAlignment="1">
      <alignment horizontal="left" vertical="center" wrapText="1"/>
    </xf>
    <xf numFmtId="0" fontId="10" fillId="5" borderId="3" xfId="0" applyFont="1" applyFill="1" applyBorder="1" applyAlignment="1">
      <alignment horizontal="left" vertical="center"/>
    </xf>
    <xf numFmtId="43" fontId="21" fillId="6" borderId="11" xfId="4" applyFont="1" applyFill="1" applyBorder="1" applyAlignment="1">
      <alignment horizontal="center" vertical="center" readingOrder="2"/>
    </xf>
    <xf numFmtId="43" fontId="21" fillId="6" borderId="28" xfId="4" applyFont="1" applyFill="1" applyBorder="1" applyAlignment="1">
      <alignment horizontal="center" vertical="center" readingOrder="2"/>
    </xf>
    <xf numFmtId="10" fontId="21" fillId="6" borderId="20" xfId="2" applyNumberFormat="1" applyFont="1" applyFill="1" applyBorder="1" applyAlignment="1">
      <alignment horizontal="center" vertical="center" readingOrder="2"/>
    </xf>
    <xf numFmtId="10" fontId="21" fillId="6" borderId="29" xfId="2" applyNumberFormat="1" applyFont="1" applyFill="1" applyBorder="1" applyAlignment="1">
      <alignment horizontal="center" vertical="center" readingOrder="2"/>
    </xf>
    <xf numFmtId="0" fontId="0" fillId="0" borderId="0" xfId="0" applyAlignment="1" applyProtection="1">
      <alignment horizontal="left" vertical="top"/>
      <protection locked="0"/>
    </xf>
    <xf numFmtId="0" fontId="4" fillId="7" borderId="11" xfId="0" applyFont="1" applyFill="1" applyBorder="1" applyAlignment="1">
      <alignment horizontal="left"/>
    </xf>
    <xf numFmtId="0" fontId="4" fillId="7" borderId="13" xfId="0" applyFont="1" applyFill="1" applyBorder="1" applyAlignment="1">
      <alignment horizontal="left"/>
    </xf>
    <xf numFmtId="0" fontId="4" fillId="7" borderId="14" xfId="0" applyFont="1" applyFill="1" applyBorder="1" applyAlignment="1">
      <alignment horizontal="left"/>
    </xf>
    <xf numFmtId="0" fontId="0" fillId="0" borderId="11" xfId="0" applyBorder="1" applyAlignment="1" applyProtection="1">
      <alignment horizontal="center"/>
      <protection locked="0"/>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4" fillId="7" borderId="2" xfId="0" applyFont="1" applyFill="1" applyBorder="1" applyAlignment="1">
      <alignment horizontal="left" vertical="center"/>
    </xf>
    <xf numFmtId="0" fontId="4" fillId="7" borderId="11" xfId="0" applyFont="1" applyFill="1" applyBorder="1" applyAlignment="1">
      <alignment horizontal="center" vertical="center" wrapText="1"/>
    </xf>
    <xf numFmtId="0" fontId="4" fillId="7" borderId="13" xfId="0" applyFont="1" applyFill="1" applyBorder="1" applyAlignment="1">
      <alignment horizontal="center" vertical="center" wrapText="1"/>
    </xf>
    <xf numFmtId="0" fontId="4" fillId="7" borderId="14" xfId="0" applyFont="1" applyFill="1" applyBorder="1" applyAlignment="1">
      <alignment horizontal="center" vertical="center" wrapText="1"/>
    </xf>
    <xf numFmtId="9" fontId="31" fillId="10" borderId="32" xfId="2" applyFont="1" applyFill="1" applyBorder="1" applyAlignment="1">
      <alignment horizontal="center"/>
    </xf>
    <xf numFmtId="9" fontId="31" fillId="10" borderId="33" xfId="2" applyFont="1" applyFill="1" applyBorder="1" applyAlignment="1">
      <alignment horizontal="center"/>
    </xf>
    <xf numFmtId="169" fontId="0" fillId="0" borderId="2" xfId="0" applyNumberFormat="1" applyBorder="1" applyAlignment="1" applyProtection="1">
      <alignment horizontal="center" vertical="center"/>
      <protection locked="0"/>
    </xf>
    <xf numFmtId="164" fontId="0" fillId="6" borderId="2" xfId="0" applyNumberFormat="1" applyFill="1" applyBorder="1" applyAlignment="1">
      <alignment horizontal="center" vertical="center"/>
    </xf>
    <xf numFmtId="0" fontId="0" fillId="6" borderId="2" xfId="0" applyFill="1" applyBorder="1" applyAlignment="1">
      <alignment horizontal="left"/>
    </xf>
    <xf numFmtId="49" fontId="0" fillId="6" borderId="2" xfId="0" applyNumberFormat="1" applyFill="1" applyBorder="1" applyAlignment="1">
      <alignment horizontal="left"/>
    </xf>
    <xf numFmtId="167" fontId="0" fillId="6" borderId="2" xfId="0" applyNumberFormat="1" applyFill="1" applyBorder="1" applyAlignment="1">
      <alignment horizontal="left"/>
    </xf>
    <xf numFmtId="168" fontId="0" fillId="6" borderId="2" xfId="0" applyNumberFormat="1" applyFill="1" applyBorder="1" applyAlignment="1">
      <alignment horizontal="left"/>
    </xf>
    <xf numFmtId="0" fontId="10" fillId="0" borderId="0" xfId="0" applyFont="1" applyAlignment="1">
      <alignment horizontal="left"/>
    </xf>
    <xf numFmtId="0" fontId="10" fillId="5" borderId="0" xfId="0" applyFont="1" applyFill="1" applyAlignment="1">
      <alignment horizontal="left"/>
    </xf>
  </cellXfs>
  <cellStyles count="13">
    <cellStyle name="Bottom_Dot_Table" xfId="7" xr:uid="{00000000-0005-0000-0000-000000000000}"/>
    <cellStyle name="Comma" xfId="4" builtinId="3"/>
    <cellStyle name="Dot_Table" xfId="5" xr:uid="{00000000-0005-0000-0000-000002000000}"/>
    <cellStyle name="Full_Table" xfId="10" xr:uid="{00000000-0005-0000-0000-000003000000}"/>
    <cellStyle name="Historical inputs" xfId="1" xr:uid="{00000000-0005-0000-0000-000004000000}"/>
    <cellStyle name="Hyperlink" xfId="3" builtinId="8"/>
    <cellStyle name="Merged_Table_Header" xfId="9" xr:uid="{00000000-0005-0000-0000-000006000000}"/>
    <cellStyle name="Normal" xfId="0" builtinId="0"/>
    <cellStyle name="Normal 2" xfId="12" xr:uid="{00000000-0005-0000-0000-000008000000}"/>
    <cellStyle name="Percent" xfId="2" builtinId="5"/>
    <cellStyle name="Subtotal" xfId="11" xr:uid="{00000000-0005-0000-0000-00000A000000}"/>
    <cellStyle name="Table_Header" xfId="8" xr:uid="{00000000-0005-0000-0000-00000B000000}"/>
    <cellStyle name="Top_Dot_Table" xfId="6" xr:uid="{00000000-0005-0000-0000-00000C000000}"/>
  </cellStyles>
  <dxfs count="4">
    <dxf>
      <fill>
        <patternFill>
          <bgColor theme="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s>
  <tableStyles count="0" defaultTableStyle="TableStyleMedium2" defaultPivotStyle="PivotStyleLight16"/>
  <colors>
    <mruColors>
      <color rgb="FF16284D"/>
      <color rgb="FF3561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140494</xdr:colOff>
      <xdr:row>12</xdr:row>
      <xdr:rowOff>11907</xdr:rowOff>
    </xdr:from>
    <xdr:to>
      <xdr:col>16</xdr:col>
      <xdr:colOff>511970</xdr:colOff>
      <xdr:row>13</xdr:row>
      <xdr:rowOff>45244</xdr:rowOff>
    </xdr:to>
    <xdr:sp macro="" textlink="">
      <xdr:nvSpPr>
        <xdr:cNvPr id="2" name="Rectangle 1">
          <a:extLst>
            <a:ext uri="{FF2B5EF4-FFF2-40B4-BE49-F238E27FC236}">
              <a16:creationId xmlns:a16="http://schemas.microsoft.com/office/drawing/2014/main" id="{00000000-0008-0000-0000-000004000000}"/>
            </a:ext>
          </a:extLst>
        </xdr:cNvPr>
        <xdr:cNvSpPr/>
      </xdr:nvSpPr>
      <xdr:spPr>
        <a:xfrm>
          <a:off x="13640594" y="2951957"/>
          <a:ext cx="1647826" cy="23018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endParaRPr lang="en-US"/>
        </a:p>
      </xdr:txBody>
    </xdr:sp>
    <xdr:clientData/>
  </xdr:twoCellAnchor>
  <xdr:twoCellAnchor editAs="oneCell">
    <xdr:from>
      <xdr:col>1</xdr:col>
      <xdr:colOff>124558</xdr:colOff>
      <xdr:row>0</xdr:row>
      <xdr:rowOff>0</xdr:rowOff>
    </xdr:from>
    <xdr:to>
      <xdr:col>3</xdr:col>
      <xdr:colOff>332316</xdr:colOff>
      <xdr:row>4</xdr:row>
      <xdr:rowOff>152196</xdr:rowOff>
    </xdr:to>
    <xdr:pic>
      <xdr:nvPicPr>
        <xdr:cNvPr id="3" name="Picture 2" descr="Related image">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1475" y="0"/>
          <a:ext cx="2097941" cy="13375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U43"/>
  <sheetViews>
    <sheetView showGridLines="0" tabSelected="1" zoomScaleNormal="100" workbookViewId="0"/>
  </sheetViews>
  <sheetFormatPr defaultColWidth="8.85546875" defaultRowHeight="15"/>
  <cols>
    <col min="1" max="1" width="4.42578125" customWidth="1"/>
    <col min="2" max="5" width="13.42578125" customWidth="1"/>
    <col min="6" max="12" width="16.7109375" customWidth="1"/>
    <col min="13" max="13" width="13.42578125" customWidth="1"/>
    <col min="14" max="14" width="4.42578125" customWidth="1"/>
    <col min="15" max="15" width="2.5703125" customWidth="1"/>
    <col min="16" max="16" width="15.7109375" customWidth="1"/>
    <col min="17" max="17" width="12.85546875" customWidth="1"/>
    <col min="18" max="18" width="18.42578125" customWidth="1"/>
    <col min="19" max="19" width="3.42578125" customWidth="1"/>
    <col min="26" max="26" width="20.42578125" customWidth="1"/>
    <col min="29" max="30" width="61" customWidth="1"/>
  </cols>
  <sheetData>
    <row r="1" spans="2:21" ht="23.1" customHeight="1">
      <c r="E1" s="133" t="s">
        <v>124</v>
      </c>
      <c r="F1" s="133"/>
      <c r="G1" s="133"/>
      <c r="H1" s="133"/>
      <c r="I1" s="133"/>
      <c r="J1" s="133"/>
      <c r="K1" s="133"/>
      <c r="L1" s="133"/>
      <c r="M1" s="133"/>
    </row>
    <row r="2" spans="2:21" ht="23.1" customHeight="1">
      <c r="E2" s="133"/>
      <c r="F2" s="133"/>
      <c r="G2" s="133"/>
      <c r="H2" s="133"/>
      <c r="I2" s="133"/>
      <c r="J2" s="133"/>
      <c r="K2" s="133"/>
      <c r="L2" s="133"/>
      <c r="M2" s="133"/>
      <c r="N2" s="11"/>
      <c r="O2" s="11"/>
    </row>
    <row r="3" spans="2:21" ht="23.1" customHeight="1">
      <c r="E3" s="133"/>
      <c r="F3" s="133"/>
      <c r="G3" s="133"/>
      <c r="H3" s="133"/>
      <c r="I3" s="133"/>
      <c r="J3" s="133"/>
      <c r="K3" s="133"/>
      <c r="L3" s="133"/>
      <c r="M3" s="133"/>
      <c r="N3" s="11"/>
      <c r="O3" s="11"/>
      <c r="P3" s="70" t="s">
        <v>101</v>
      </c>
      <c r="Q3" s="70" t="s">
        <v>293</v>
      </c>
    </row>
    <row r="4" spans="2:21" ht="23.1" customHeight="1">
      <c r="E4" s="133"/>
      <c r="F4" s="133"/>
      <c r="G4" s="133"/>
      <c r="H4" s="133"/>
      <c r="I4" s="133"/>
      <c r="J4" s="133"/>
      <c r="K4" s="133"/>
      <c r="L4" s="133"/>
      <c r="M4" s="133"/>
      <c r="N4" s="11"/>
      <c r="O4" s="11"/>
      <c r="P4" s="70" t="s">
        <v>102</v>
      </c>
      <c r="Q4" s="70" t="s">
        <v>292</v>
      </c>
    </row>
    <row r="5" spans="2:21" ht="18.95" customHeight="1">
      <c r="E5" s="133"/>
      <c r="F5" s="133"/>
      <c r="G5" s="133"/>
      <c r="H5" s="133"/>
      <c r="I5" s="133"/>
      <c r="J5" s="133"/>
      <c r="K5" s="133"/>
      <c r="L5" s="133"/>
      <c r="M5" s="133"/>
      <c r="N5" s="11"/>
      <c r="O5" s="11"/>
    </row>
    <row r="6" spans="2:21" ht="15.6" customHeight="1"/>
    <row r="7" spans="2:21" ht="16.149999999999999" customHeight="1">
      <c r="B7" s="71" t="s">
        <v>19</v>
      </c>
      <c r="C7" s="72"/>
      <c r="D7" s="73"/>
      <c r="E7" s="73"/>
      <c r="F7" s="73"/>
      <c r="G7" s="73"/>
      <c r="H7" s="73"/>
      <c r="I7" s="73"/>
      <c r="J7" s="73"/>
      <c r="K7" s="73"/>
      <c r="L7" s="73"/>
      <c r="M7" s="73"/>
      <c r="O7" s="71" t="s">
        <v>21</v>
      </c>
      <c r="P7" s="74"/>
      <c r="Q7" s="73"/>
      <c r="R7" s="73"/>
      <c r="S7" s="73"/>
    </row>
    <row r="8" spans="2:21" ht="15.6" customHeight="1">
      <c r="B8" s="134" t="s">
        <v>247</v>
      </c>
      <c r="C8" s="135"/>
      <c r="D8" s="135"/>
      <c r="E8" s="135"/>
      <c r="F8" s="135"/>
      <c r="G8" s="135"/>
      <c r="H8" s="135"/>
      <c r="I8" s="135"/>
      <c r="J8" s="135"/>
      <c r="K8" s="135"/>
      <c r="L8" s="135"/>
      <c r="M8" s="136"/>
      <c r="O8" s="75"/>
      <c r="S8" s="76"/>
    </row>
    <row r="9" spans="2:21" ht="15.6" customHeight="1">
      <c r="B9" s="137"/>
      <c r="C9" s="138"/>
      <c r="D9" s="138"/>
      <c r="E9" s="138"/>
      <c r="F9" s="138"/>
      <c r="G9" s="138"/>
      <c r="H9" s="138"/>
      <c r="I9" s="138"/>
      <c r="J9" s="138"/>
      <c r="K9" s="138"/>
      <c r="L9" s="138"/>
      <c r="M9" s="139"/>
      <c r="O9" s="75"/>
      <c r="P9" s="77" t="s">
        <v>1</v>
      </c>
      <c r="Q9" s="18" t="s">
        <v>2</v>
      </c>
      <c r="R9" s="18"/>
      <c r="S9" s="76"/>
      <c r="U9" s="9"/>
    </row>
    <row r="10" spans="2:21" ht="15.6" customHeight="1">
      <c r="B10" s="137"/>
      <c r="C10" s="138"/>
      <c r="D10" s="138"/>
      <c r="E10" s="138"/>
      <c r="F10" s="138"/>
      <c r="G10" s="138"/>
      <c r="H10" s="138"/>
      <c r="I10" s="138"/>
      <c r="J10" s="138"/>
      <c r="K10" s="138"/>
      <c r="L10" s="138"/>
      <c r="M10" s="139"/>
      <c r="O10" s="75"/>
      <c r="P10" s="78" t="s">
        <v>1</v>
      </c>
      <c r="Q10" s="18" t="s">
        <v>18</v>
      </c>
      <c r="R10" s="18"/>
      <c r="S10" s="76"/>
    </row>
    <row r="11" spans="2:21" ht="15.6" customHeight="1">
      <c r="B11" s="137"/>
      <c r="C11" s="138"/>
      <c r="D11" s="138"/>
      <c r="E11" s="138"/>
      <c r="F11" s="138"/>
      <c r="G11" s="138"/>
      <c r="H11" s="138"/>
      <c r="I11" s="138"/>
      <c r="J11" s="138"/>
      <c r="K11" s="138"/>
      <c r="L11" s="138"/>
      <c r="M11" s="139"/>
      <c r="O11" s="75"/>
      <c r="P11" s="79" t="s">
        <v>1</v>
      </c>
      <c r="Q11" s="18" t="s">
        <v>3</v>
      </c>
      <c r="R11" s="18"/>
      <c r="S11" s="76"/>
    </row>
    <row r="12" spans="2:21" ht="15.6" customHeight="1">
      <c r="B12" s="137"/>
      <c r="C12" s="138"/>
      <c r="D12" s="138"/>
      <c r="E12" s="138"/>
      <c r="F12" s="138"/>
      <c r="G12" s="138"/>
      <c r="H12" s="138"/>
      <c r="I12" s="138"/>
      <c r="J12" s="138"/>
      <c r="K12" s="138"/>
      <c r="L12" s="138"/>
      <c r="M12" s="139"/>
      <c r="O12" s="75"/>
      <c r="P12" s="80" t="s">
        <v>1</v>
      </c>
      <c r="Q12" s="81" t="s">
        <v>17</v>
      </c>
      <c r="R12" s="81"/>
      <c r="S12" s="76"/>
    </row>
    <row r="13" spans="2:21" ht="15.6" customHeight="1">
      <c r="B13" s="137"/>
      <c r="C13" s="138"/>
      <c r="D13" s="138"/>
      <c r="E13" s="138"/>
      <c r="F13" s="138"/>
      <c r="G13" s="138"/>
      <c r="H13" s="138"/>
      <c r="I13" s="138"/>
      <c r="J13" s="138"/>
      <c r="K13" s="138"/>
      <c r="L13" s="138"/>
      <c r="M13" s="139"/>
      <c r="O13" s="75"/>
      <c r="P13" s="82"/>
      <c r="Q13" s="18"/>
      <c r="R13" s="18"/>
      <c r="S13" s="76"/>
    </row>
    <row r="14" spans="2:21" ht="15.6" customHeight="1">
      <c r="B14" s="137"/>
      <c r="C14" s="138"/>
      <c r="D14" s="138"/>
      <c r="E14" s="138"/>
      <c r="F14" s="138"/>
      <c r="G14" s="138"/>
      <c r="H14" s="138"/>
      <c r="I14" s="138"/>
      <c r="J14" s="138"/>
      <c r="K14" s="138"/>
      <c r="L14" s="138"/>
      <c r="M14" s="139"/>
      <c r="O14" s="83"/>
      <c r="P14" s="84"/>
      <c r="Q14" s="85"/>
      <c r="R14" s="85"/>
      <c r="S14" s="86"/>
    </row>
    <row r="15" spans="2:21" ht="15.6" customHeight="1"/>
    <row r="16" spans="2:21" ht="16.149999999999999" customHeight="1">
      <c r="B16" s="71" t="s">
        <v>20</v>
      </c>
      <c r="C16" s="87"/>
      <c r="D16" s="87"/>
      <c r="E16" s="87"/>
      <c r="F16" s="71" t="s">
        <v>0</v>
      </c>
      <c r="G16" s="73"/>
      <c r="H16" s="73"/>
      <c r="I16" s="73"/>
      <c r="J16" s="73"/>
      <c r="K16" s="73"/>
      <c r="L16" s="73"/>
      <c r="M16" s="73"/>
      <c r="N16" s="73"/>
      <c r="O16" s="73"/>
      <c r="P16" s="73"/>
      <c r="Q16" s="73"/>
      <c r="R16" s="73"/>
      <c r="S16" s="73"/>
    </row>
    <row r="17" spans="2:19" ht="15.6" customHeight="1">
      <c r="B17" s="140" t="s">
        <v>13</v>
      </c>
      <c r="C17" s="141"/>
      <c r="D17" s="141"/>
      <c r="E17" s="141"/>
      <c r="F17" s="142" t="s">
        <v>183</v>
      </c>
      <c r="G17" s="142"/>
      <c r="H17" s="142"/>
      <c r="I17" s="142"/>
      <c r="J17" s="142"/>
      <c r="K17" s="142"/>
      <c r="L17" s="142"/>
      <c r="M17" s="142"/>
      <c r="N17" s="142"/>
      <c r="O17" s="142"/>
      <c r="P17" s="142"/>
      <c r="Q17" s="142"/>
      <c r="R17" s="142"/>
      <c r="S17" s="143"/>
    </row>
    <row r="18" spans="2:19" ht="15.6" customHeight="1">
      <c r="B18" s="129" t="s">
        <v>12</v>
      </c>
      <c r="C18" s="130"/>
      <c r="D18" s="130"/>
      <c r="E18" s="130"/>
      <c r="F18" s="131" t="s">
        <v>184</v>
      </c>
      <c r="G18" s="131"/>
      <c r="H18" s="131"/>
      <c r="I18" s="131"/>
      <c r="J18" s="131"/>
      <c r="K18" s="131"/>
      <c r="L18" s="131"/>
      <c r="M18" s="131"/>
      <c r="N18" s="131"/>
      <c r="O18" s="131"/>
      <c r="P18" s="131"/>
      <c r="Q18" s="131"/>
      <c r="R18" s="131"/>
      <c r="S18" s="132"/>
    </row>
    <row r="19" spans="2:19" ht="15.6" customHeight="1">
      <c r="B19" s="129" t="s">
        <v>14</v>
      </c>
      <c r="C19" s="130"/>
      <c r="D19" s="130"/>
      <c r="E19" s="130"/>
      <c r="F19" s="131" t="s">
        <v>185</v>
      </c>
      <c r="G19" s="131"/>
      <c r="H19" s="131"/>
      <c r="I19" s="131"/>
      <c r="J19" s="131"/>
      <c r="K19" s="131"/>
      <c r="L19" s="131"/>
      <c r="M19" s="131"/>
      <c r="N19" s="131"/>
      <c r="O19" s="131"/>
      <c r="P19" s="131"/>
      <c r="Q19" s="131"/>
      <c r="R19" s="131"/>
      <c r="S19" s="132"/>
    </row>
    <row r="20" spans="2:19" ht="15.6" customHeight="1">
      <c r="B20" s="129" t="s">
        <v>15</v>
      </c>
      <c r="C20" s="130"/>
      <c r="D20" s="130"/>
      <c r="E20" s="130"/>
      <c r="F20" s="131" t="s">
        <v>186</v>
      </c>
      <c r="G20" s="131"/>
      <c r="H20" s="131"/>
      <c r="I20" s="131"/>
      <c r="J20" s="131"/>
      <c r="K20" s="131"/>
      <c r="L20" s="131"/>
      <c r="M20" s="131"/>
      <c r="N20" s="131"/>
      <c r="O20" s="131"/>
      <c r="P20" s="131"/>
      <c r="Q20" s="131"/>
      <c r="R20" s="131"/>
      <c r="S20" s="132"/>
    </row>
    <row r="21" spans="2:19" ht="15.6" customHeight="1">
      <c r="B21" s="129" t="s">
        <v>16</v>
      </c>
      <c r="C21" s="130"/>
      <c r="D21" s="130"/>
      <c r="E21" s="130"/>
      <c r="F21" s="131" t="s">
        <v>187</v>
      </c>
      <c r="G21" s="131"/>
      <c r="H21" s="131"/>
      <c r="I21" s="131"/>
      <c r="J21" s="131"/>
      <c r="K21" s="131"/>
      <c r="L21" s="131"/>
      <c r="M21" s="131"/>
      <c r="N21" s="131"/>
      <c r="O21" s="131"/>
      <c r="P21" s="131"/>
      <c r="Q21" s="131"/>
      <c r="R21" s="131"/>
      <c r="S21" s="132"/>
    </row>
    <row r="22" spans="2:19" ht="15.6" customHeight="1">
      <c r="B22" s="129" t="s">
        <v>81</v>
      </c>
      <c r="C22" s="130"/>
      <c r="D22" s="130"/>
      <c r="E22" s="130"/>
      <c r="F22" s="131" t="s">
        <v>188</v>
      </c>
      <c r="G22" s="131"/>
      <c r="H22" s="131"/>
      <c r="I22" s="131"/>
      <c r="J22" s="131"/>
      <c r="K22" s="131"/>
      <c r="L22" s="131"/>
      <c r="M22" s="131"/>
      <c r="N22" s="131"/>
      <c r="O22" s="131"/>
      <c r="P22" s="131"/>
      <c r="Q22" s="131"/>
      <c r="R22" s="131"/>
      <c r="S22" s="132"/>
    </row>
    <row r="23" spans="2:19" ht="15.6" customHeight="1">
      <c r="B23" s="129" t="s">
        <v>49</v>
      </c>
      <c r="C23" s="130"/>
      <c r="D23" s="130"/>
      <c r="E23" s="130"/>
      <c r="F23" s="131" t="s">
        <v>189</v>
      </c>
      <c r="G23" s="131"/>
      <c r="H23" s="131"/>
      <c r="I23" s="131"/>
      <c r="J23" s="131"/>
      <c r="K23" s="131"/>
      <c r="L23" s="131"/>
      <c r="M23" s="131"/>
      <c r="N23" s="131"/>
      <c r="O23" s="131"/>
      <c r="P23" s="131"/>
      <c r="Q23" s="131"/>
      <c r="R23" s="131"/>
      <c r="S23" s="132"/>
    </row>
    <row r="25" spans="2:19">
      <c r="B25" s="88" t="s">
        <v>190</v>
      </c>
    </row>
    <row r="27" spans="2:19" ht="14.45" customHeight="1"/>
    <row r="39" spans="2:2" ht="14.45" customHeight="1">
      <c r="B39" s="4"/>
    </row>
    <row r="40" spans="2:2">
      <c r="B40" s="4"/>
    </row>
    <row r="41" spans="2:2">
      <c r="B41" s="4"/>
    </row>
    <row r="42" spans="2:2">
      <c r="B42" s="4"/>
    </row>
    <row r="43" spans="2:2">
      <c r="B43" s="4"/>
    </row>
  </sheetData>
  <sheetProtection algorithmName="SHA-512" hashValue="biOW18BIIza9xELg0XP+VShlhD+h7hvTUEajKDmP1lQqgB1r6AAsUuYLWtmrFhGS4lZQVrdwkVs4NUuRNXSUrQ==" saltValue="31jgeufSOL1Sh4Wo5iba/Q==" spinCount="100000" sheet="1" objects="1" scenarios="1"/>
  <mergeCells count="16">
    <mergeCell ref="E1:M5"/>
    <mergeCell ref="B8:M14"/>
    <mergeCell ref="B17:E17"/>
    <mergeCell ref="F17:S17"/>
    <mergeCell ref="B18:E18"/>
    <mergeCell ref="F18:S18"/>
    <mergeCell ref="B22:E22"/>
    <mergeCell ref="F22:S22"/>
    <mergeCell ref="B23:E23"/>
    <mergeCell ref="F23:S23"/>
    <mergeCell ref="B19:E19"/>
    <mergeCell ref="F19:S19"/>
    <mergeCell ref="B20:E20"/>
    <mergeCell ref="F20:S20"/>
    <mergeCell ref="B21:E21"/>
    <mergeCell ref="F21:S21"/>
  </mergeCells>
  <hyperlinks>
    <hyperlink ref="B17:E17" location="'Section 1. General Information'!A1" display="Section 1. General Information" xr:uid="{00000000-0004-0000-0000-000000000000}"/>
    <hyperlink ref="B18:E18" location="'Section 2. Evaluation'!A1" display="Section 2. Evaluation " xr:uid="{00000000-0004-0000-0000-000001000000}"/>
    <hyperlink ref="B19:E19" location="'Section 3. Labor'!A1" display="Section 3. Labor" xr:uid="{00000000-0004-0000-0000-000002000000}"/>
    <hyperlink ref="B20:E20" location="'Section 4. Goods and Services'!A1" display="Section 4. Goods &amp; Services" xr:uid="{00000000-0004-0000-0000-000003000000}"/>
    <hyperlink ref="B21:E21" location="'Section 5. Capacity Building'!A1" display="Section 5. Capacity Building" xr:uid="{00000000-0004-0000-0000-000004000000}"/>
    <hyperlink ref="B22:E22" location="'Section 6. Depreciation &amp; Amor.'!A1" display="Section 6. Depreciation and Amortization" xr:uid="{00000000-0004-0000-0000-000005000000}"/>
    <hyperlink ref="B23:E23" location="'Appendix A'!A1" display="Appendix A." xr:uid="{00000000-0004-0000-0000-000006000000}"/>
  </hyperlinks>
  <pageMargins left="0.7" right="0.7" top="0.75" bottom="0.75" header="0.3" footer="0.3"/>
  <pageSetup paperSize="9" orientation="portrait" verticalDpi="0"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B1:Y29"/>
  <sheetViews>
    <sheetView showGridLines="0" zoomScaleNormal="100" workbookViewId="0"/>
  </sheetViews>
  <sheetFormatPr defaultColWidth="8.85546875" defaultRowHeight="15"/>
  <cols>
    <col min="1" max="1" width="4.42578125" style="1" customWidth="1"/>
    <col min="2" max="2" width="59.85546875" style="1" customWidth="1"/>
    <col min="3" max="3" width="28.42578125" style="1" customWidth="1"/>
    <col min="4" max="4" width="89.42578125" style="1" customWidth="1"/>
    <col min="5" max="5" width="8.42578125" style="1" customWidth="1"/>
    <col min="6" max="10" width="12.28515625" style="1" customWidth="1"/>
    <col min="11" max="24" width="8.85546875" style="1"/>
    <col min="25" max="25" width="16.28515625" style="1" bestFit="1" customWidth="1"/>
    <col min="26" max="16384" width="8.85546875" style="1"/>
  </cols>
  <sheetData>
    <row r="1" spans="2:25" ht="28.5">
      <c r="B1" s="11" t="s">
        <v>27</v>
      </c>
      <c r="Y1" s="97" t="s">
        <v>250</v>
      </c>
    </row>
    <row r="2" spans="2:25" ht="21.6" customHeight="1">
      <c r="B2" s="144" t="s">
        <v>90</v>
      </c>
      <c r="C2" s="144"/>
      <c r="D2" s="144"/>
      <c r="F2" s="93"/>
      <c r="G2" s="93"/>
      <c r="H2" s="93"/>
      <c r="I2" s="93"/>
      <c r="J2" s="93"/>
      <c r="K2" s="93"/>
      <c r="L2" s="93"/>
      <c r="M2" s="93"/>
      <c r="N2" s="93"/>
      <c r="O2" s="93"/>
      <c r="P2" s="93"/>
      <c r="Q2" s="93"/>
      <c r="R2" s="93"/>
      <c r="Y2" s="97" t="s">
        <v>203</v>
      </c>
    </row>
    <row r="3" spans="2:25" ht="20.45" customHeight="1">
      <c r="B3" s="20" t="s">
        <v>191</v>
      </c>
      <c r="C3" s="149"/>
      <c r="D3" s="150"/>
      <c r="F3" s="107"/>
      <c r="G3" s="107"/>
      <c r="H3" s="107"/>
      <c r="I3" s="107"/>
      <c r="J3" s="107"/>
      <c r="K3" s="107"/>
      <c r="L3" s="107"/>
      <c r="M3" s="107"/>
      <c r="N3" s="107"/>
      <c r="O3" s="107"/>
      <c r="P3" s="107"/>
      <c r="Q3" s="107"/>
      <c r="R3" s="107"/>
      <c r="Y3" s="97" t="s">
        <v>193</v>
      </c>
    </row>
    <row r="4" spans="2:25" ht="20.45" customHeight="1">
      <c r="B4" s="20" t="s">
        <v>42</v>
      </c>
      <c r="C4" s="149"/>
      <c r="D4" s="150"/>
      <c r="F4" s="107"/>
      <c r="G4" s="107"/>
      <c r="H4" s="107"/>
      <c r="I4" s="107"/>
      <c r="J4" s="107"/>
      <c r="K4" s="107"/>
      <c r="L4" s="107"/>
      <c r="M4" s="107"/>
      <c r="N4" s="107"/>
      <c r="O4" s="107"/>
      <c r="P4" s="107"/>
      <c r="Q4" s="107"/>
      <c r="R4" s="107"/>
      <c r="Y4" s="89" t="s">
        <v>194</v>
      </c>
    </row>
    <row r="5" spans="2:25" ht="20.45" customHeight="1">
      <c r="B5" s="20" t="s">
        <v>103</v>
      </c>
      <c r="C5" s="90"/>
      <c r="D5" s="91"/>
      <c r="F5" s="107"/>
      <c r="G5" s="107"/>
      <c r="H5" s="107"/>
      <c r="I5" s="107"/>
      <c r="J5" s="107"/>
      <c r="K5" s="107"/>
      <c r="L5" s="107"/>
      <c r="M5" s="107"/>
      <c r="N5" s="107"/>
      <c r="O5" s="107"/>
      <c r="P5" s="107"/>
      <c r="Q5" s="107"/>
      <c r="R5" s="107"/>
      <c r="Y5" s="89" t="s">
        <v>195</v>
      </c>
    </row>
    <row r="6" spans="2:25" ht="20.45" customHeight="1">
      <c r="B6" s="19" t="s">
        <v>43</v>
      </c>
      <c r="C6" s="147"/>
      <c r="D6" s="148"/>
      <c r="F6" s="107"/>
      <c r="G6" s="107"/>
      <c r="H6" s="107"/>
      <c r="I6" s="107"/>
      <c r="J6" s="107"/>
      <c r="K6" s="107"/>
      <c r="L6" s="107"/>
      <c r="M6" s="107"/>
      <c r="N6" s="107"/>
      <c r="O6" s="107"/>
      <c r="P6" s="107"/>
      <c r="Q6" s="107"/>
      <c r="R6" s="107"/>
      <c r="Y6" s="89" t="s">
        <v>251</v>
      </c>
    </row>
    <row r="7" spans="2:25" ht="20.45" customHeight="1">
      <c r="B7" s="19" t="s">
        <v>91</v>
      </c>
      <c r="C7" s="147"/>
      <c r="D7" s="148"/>
      <c r="F7" s="107"/>
      <c r="G7" s="107"/>
      <c r="H7" s="107"/>
      <c r="I7" s="107"/>
      <c r="J7" s="107"/>
      <c r="K7" s="107"/>
      <c r="L7" s="107"/>
      <c r="M7" s="107"/>
      <c r="N7" s="107"/>
      <c r="O7" s="107"/>
      <c r="P7" s="107"/>
      <c r="Q7" s="107"/>
      <c r="R7" s="107"/>
      <c r="Y7" s="89" t="s">
        <v>197</v>
      </c>
    </row>
    <row r="8" spans="2:25" ht="20.45" customHeight="1">
      <c r="B8" s="19" t="s">
        <v>84</v>
      </c>
      <c r="C8" s="151"/>
      <c r="D8" s="152"/>
      <c r="F8" s="94"/>
      <c r="G8" s="94"/>
      <c r="H8" s="94"/>
      <c r="I8" s="94"/>
      <c r="J8" s="94"/>
      <c r="K8" s="94"/>
      <c r="L8" s="94"/>
      <c r="M8" s="94"/>
      <c r="N8" s="94"/>
      <c r="O8" s="94"/>
      <c r="P8" s="94"/>
      <c r="Q8" s="94"/>
      <c r="R8" s="94"/>
      <c r="Y8" s="89" t="s">
        <v>198</v>
      </c>
    </row>
    <row r="9" spans="2:25" s="95" customFormat="1" ht="20.25" customHeight="1">
      <c r="B9" s="19" t="s">
        <v>104</v>
      </c>
      <c r="C9" s="147"/>
      <c r="D9" s="148"/>
      <c r="F9" s="96"/>
      <c r="G9" s="96"/>
      <c r="H9" s="96"/>
      <c r="I9" s="89" t="s">
        <v>105</v>
      </c>
      <c r="Y9" s="89" t="s">
        <v>199</v>
      </c>
    </row>
    <row r="10" spans="2:25" s="95" customFormat="1" ht="20.25" customHeight="1">
      <c r="B10" s="19" t="s">
        <v>192</v>
      </c>
      <c r="C10" s="147"/>
      <c r="D10" s="148"/>
      <c r="F10" s="96"/>
      <c r="G10" s="96"/>
      <c r="H10" s="96"/>
      <c r="I10" s="89" t="s">
        <v>106</v>
      </c>
      <c r="K10" s="96"/>
      <c r="L10" s="96"/>
      <c r="M10" s="96"/>
      <c r="N10" s="96"/>
      <c r="O10" s="96"/>
      <c r="P10" s="96"/>
      <c r="Q10" s="96"/>
      <c r="R10" s="96"/>
      <c r="Y10" s="89" t="s">
        <v>200</v>
      </c>
    </row>
    <row r="11" spans="2:25" ht="20.45" customHeight="1">
      <c r="B11" s="5"/>
      <c r="C11" s="92"/>
      <c r="D11" s="92"/>
      <c r="F11" s="94"/>
      <c r="G11" s="94"/>
      <c r="H11" s="94"/>
      <c r="I11" s="94"/>
      <c r="K11" s="94"/>
      <c r="L11" s="94"/>
      <c r="M11" s="94"/>
      <c r="N11" s="94"/>
      <c r="O11" s="94"/>
      <c r="P11" s="94"/>
      <c r="Q11" s="94"/>
      <c r="R11" s="94"/>
      <c r="Y11" s="89" t="s">
        <v>201</v>
      </c>
    </row>
    <row r="12" spans="2:25" ht="20.45" customHeight="1">
      <c r="B12" s="144" t="s">
        <v>50</v>
      </c>
      <c r="C12" s="144"/>
      <c r="D12" s="144"/>
      <c r="F12" s="94"/>
      <c r="G12" s="94"/>
      <c r="H12" s="94"/>
      <c r="I12" s="94"/>
      <c r="K12" s="94"/>
      <c r="L12" s="94"/>
      <c r="M12" s="94"/>
      <c r="N12" s="94"/>
      <c r="O12" s="94"/>
      <c r="P12" s="94"/>
      <c r="Q12" s="94"/>
      <c r="R12" s="94"/>
      <c r="Y12" s="89" t="s">
        <v>202</v>
      </c>
    </row>
    <row r="13" spans="2:25" ht="20.45" customHeight="1">
      <c r="B13" s="19" t="s">
        <v>204</v>
      </c>
      <c r="C13" s="145"/>
      <c r="D13" s="146"/>
      <c r="F13" s="94"/>
      <c r="G13" s="94"/>
      <c r="H13" s="94"/>
      <c r="I13" s="94"/>
      <c r="K13" s="94"/>
      <c r="L13" s="94"/>
      <c r="M13" s="94"/>
      <c r="N13" s="94"/>
      <c r="O13" s="94"/>
      <c r="P13" s="94"/>
      <c r="Q13" s="94"/>
      <c r="R13" s="94"/>
    </row>
    <row r="14" spans="2:25" ht="20.45" customHeight="1">
      <c r="B14" s="20" t="s">
        <v>205</v>
      </c>
      <c r="C14" s="145"/>
      <c r="D14" s="146"/>
      <c r="F14" s="94"/>
      <c r="G14" s="94"/>
      <c r="H14" s="94"/>
      <c r="I14" s="94"/>
      <c r="K14" s="94"/>
      <c r="L14" s="94"/>
      <c r="M14" s="94"/>
      <c r="N14" s="94"/>
      <c r="O14" s="94"/>
      <c r="P14" s="94"/>
      <c r="Q14" s="94"/>
      <c r="R14" s="94"/>
    </row>
    <row r="15" spans="2:25" ht="20.45" customHeight="1">
      <c r="B15" s="20" t="s">
        <v>206</v>
      </c>
      <c r="C15" s="147"/>
      <c r="D15" s="148"/>
      <c r="F15" s="94"/>
      <c r="G15" s="94"/>
      <c r="H15" s="94"/>
      <c r="I15" s="94"/>
      <c r="K15" s="94"/>
      <c r="L15" s="94"/>
      <c r="M15" s="94"/>
      <c r="N15" s="94"/>
      <c r="O15" s="94"/>
      <c r="P15" s="94"/>
      <c r="Q15" s="94"/>
      <c r="R15" s="94"/>
    </row>
    <row r="16" spans="2:25" ht="20.45" customHeight="1">
      <c r="B16" s="20" t="s">
        <v>207</v>
      </c>
      <c r="C16" s="147"/>
      <c r="D16" s="148"/>
      <c r="F16" s="94"/>
      <c r="G16" s="94"/>
      <c r="H16" s="94"/>
      <c r="I16" s="94"/>
      <c r="K16" s="94"/>
      <c r="L16" s="94"/>
      <c r="M16" s="94"/>
      <c r="N16" s="94"/>
      <c r="O16" s="94"/>
      <c r="P16" s="94"/>
      <c r="Q16" s="94"/>
      <c r="R16" s="94"/>
    </row>
    <row r="17" spans="2:18" ht="20.45" customHeight="1">
      <c r="B17" s="20" t="s">
        <v>248</v>
      </c>
      <c r="C17" s="145"/>
      <c r="D17" s="146"/>
      <c r="F17" s="94"/>
      <c r="G17" s="94"/>
      <c r="H17" s="94"/>
      <c r="I17" s="94"/>
      <c r="K17" s="94"/>
      <c r="L17" s="94"/>
      <c r="M17" s="94"/>
      <c r="N17" s="94"/>
      <c r="O17" s="94"/>
      <c r="P17" s="94"/>
      <c r="Q17" s="94"/>
      <c r="R17" s="94"/>
    </row>
    <row r="18" spans="2:18" ht="19.149999999999999" customHeight="1">
      <c r="F18" s="97"/>
      <c r="G18" s="97"/>
      <c r="H18" s="97"/>
      <c r="I18" s="97"/>
      <c r="K18" s="97"/>
      <c r="L18" s="97"/>
      <c r="M18" s="97"/>
      <c r="N18" s="97"/>
      <c r="O18" s="97"/>
      <c r="P18" s="97"/>
      <c r="Q18" s="97"/>
      <c r="R18" s="97"/>
    </row>
    <row r="19" spans="2:18" ht="21.6" customHeight="1">
      <c r="B19" s="144" t="s">
        <v>44</v>
      </c>
      <c r="C19" s="144"/>
      <c r="D19" s="144"/>
      <c r="F19" s="62"/>
      <c r="G19" s="62"/>
      <c r="H19" s="62"/>
      <c r="I19" s="62"/>
      <c r="K19" s="62"/>
      <c r="L19" s="62"/>
      <c r="M19" s="62"/>
      <c r="N19" s="62"/>
      <c r="O19" s="62"/>
      <c r="P19" s="62"/>
      <c r="Q19" s="62"/>
      <c r="R19" s="62"/>
    </row>
    <row r="20" spans="2:18" ht="19.149999999999999" customHeight="1">
      <c r="B20" s="19" t="s">
        <v>204</v>
      </c>
      <c r="C20" s="145"/>
      <c r="D20" s="146"/>
      <c r="F20" s="107"/>
      <c r="G20" s="107"/>
      <c r="H20" s="107"/>
      <c r="I20" s="107"/>
      <c r="J20" s="107"/>
      <c r="K20" s="107"/>
      <c r="L20" s="107"/>
      <c r="M20" s="107"/>
      <c r="N20" s="107"/>
      <c r="O20" s="107"/>
      <c r="P20" s="107"/>
      <c r="Q20" s="107"/>
      <c r="R20" s="107"/>
    </row>
    <row r="21" spans="2:18" ht="19.149999999999999" customHeight="1">
      <c r="B21" s="20" t="s">
        <v>208</v>
      </c>
      <c r="C21" s="145"/>
      <c r="D21" s="146"/>
      <c r="F21" s="107"/>
      <c r="G21" s="107"/>
      <c r="H21" s="107"/>
      <c r="I21" s="107"/>
      <c r="J21" s="107"/>
      <c r="K21" s="107"/>
      <c r="L21" s="107"/>
      <c r="M21" s="107"/>
      <c r="N21" s="107"/>
      <c r="O21" s="107"/>
      <c r="P21" s="107"/>
      <c r="Q21" s="107"/>
      <c r="R21" s="107"/>
    </row>
    <row r="22" spans="2:18" ht="19.149999999999999" customHeight="1">
      <c r="B22" s="20" t="s">
        <v>209</v>
      </c>
      <c r="C22" s="145"/>
      <c r="D22" s="146"/>
      <c r="F22" s="107"/>
      <c r="G22" s="107"/>
      <c r="H22" s="107"/>
      <c r="I22" s="107"/>
      <c r="J22" s="107"/>
      <c r="K22" s="107"/>
      <c r="L22" s="107"/>
      <c r="M22" s="107"/>
      <c r="N22" s="107"/>
      <c r="O22" s="107"/>
      <c r="P22" s="107"/>
      <c r="Q22" s="107"/>
      <c r="R22" s="107"/>
    </row>
    <row r="23" spans="2:18" ht="19.149999999999999" customHeight="1">
      <c r="B23" s="20" t="s">
        <v>210</v>
      </c>
      <c r="C23" s="145"/>
      <c r="D23" s="146"/>
      <c r="F23" s="107"/>
      <c r="G23" s="107"/>
      <c r="H23" s="107"/>
      <c r="I23" s="107"/>
      <c r="J23" s="107"/>
      <c r="K23" s="107"/>
      <c r="L23" s="107"/>
      <c r="M23" s="107"/>
      <c r="N23" s="107"/>
      <c r="O23" s="107"/>
      <c r="P23" s="107"/>
      <c r="Q23" s="107"/>
      <c r="R23" s="107"/>
    </row>
    <row r="24" spans="2:18" ht="19.149999999999999" customHeight="1">
      <c r="F24" s="97"/>
      <c r="G24" s="97"/>
      <c r="H24" s="97"/>
      <c r="I24" s="97"/>
      <c r="J24" s="97"/>
      <c r="K24" s="97"/>
      <c r="L24" s="97"/>
      <c r="M24" s="97"/>
      <c r="N24" s="97"/>
      <c r="O24" s="97"/>
      <c r="P24" s="97"/>
      <c r="Q24" s="97"/>
      <c r="R24" s="97"/>
    </row>
    <row r="25" spans="2:18" ht="21.6" customHeight="1">
      <c r="B25" s="144" t="s">
        <v>45</v>
      </c>
      <c r="C25" s="144"/>
      <c r="D25" s="144"/>
      <c r="F25" s="62"/>
      <c r="G25" s="62"/>
      <c r="H25" s="62"/>
      <c r="I25" s="62"/>
      <c r="J25" s="62"/>
      <c r="K25" s="62"/>
      <c r="L25" s="62"/>
      <c r="M25" s="62"/>
      <c r="N25" s="62"/>
      <c r="O25" s="62"/>
      <c r="P25" s="62"/>
      <c r="Q25" s="62"/>
      <c r="R25" s="62"/>
    </row>
    <row r="26" spans="2:18" ht="37.5" customHeight="1">
      <c r="B26" s="19" t="s">
        <v>211</v>
      </c>
      <c r="C26" s="145"/>
      <c r="D26" s="146"/>
      <c r="F26" s="5"/>
      <c r="G26" s="5"/>
      <c r="H26" s="5"/>
      <c r="I26" s="5"/>
      <c r="J26" s="5"/>
      <c r="K26" s="5"/>
      <c r="L26" s="5"/>
      <c r="M26" s="5"/>
      <c r="N26" s="5"/>
      <c r="O26" s="5"/>
      <c r="P26" s="5"/>
      <c r="Q26" s="5"/>
      <c r="R26" s="5"/>
    </row>
    <row r="28" spans="2:18">
      <c r="B28" s="1" t="s">
        <v>212</v>
      </c>
    </row>
    <row r="29" spans="2:18">
      <c r="B29" s="1" t="s">
        <v>249</v>
      </c>
    </row>
  </sheetData>
  <sheetProtection algorithmName="SHA-512" hashValue="JvKpahPDMrTT+Gt6oOfA4PWwE4lakB26u9JxxNOWEehPLQGoAQEBRa3ENnDY7GCx9VVsFAbeshxxGeSLq+sLQw==" saltValue="4xiqNOgAx1gzw6+rw8G8wg==" spinCount="100000" sheet="1" objects="1" scenarios="1"/>
  <mergeCells count="21">
    <mergeCell ref="C20:D20"/>
    <mergeCell ref="C23:D23"/>
    <mergeCell ref="B19:D19"/>
    <mergeCell ref="C22:D22"/>
    <mergeCell ref="C21:D21"/>
    <mergeCell ref="B25:D25"/>
    <mergeCell ref="C26:D26"/>
    <mergeCell ref="C16:D16"/>
    <mergeCell ref="B2:D2"/>
    <mergeCell ref="C7:D7"/>
    <mergeCell ref="C3:D3"/>
    <mergeCell ref="C4:D4"/>
    <mergeCell ref="B12:D12"/>
    <mergeCell ref="C8:D8"/>
    <mergeCell ref="C6:D6"/>
    <mergeCell ref="C10:D10"/>
    <mergeCell ref="C9:D9"/>
    <mergeCell ref="C15:D15"/>
    <mergeCell ref="C17:D17"/>
    <mergeCell ref="C13:D13"/>
    <mergeCell ref="C14:D14"/>
  </mergeCells>
  <dataValidations count="4">
    <dataValidation type="date" allowBlank="1" showInputMessage="1" showErrorMessage="1" sqref="C11:D11" xr:uid="{00000000-0002-0000-0100-000000000000}">
      <formula1>32874</formula1>
      <formula2>73396</formula2>
    </dataValidation>
    <dataValidation type="date" allowBlank="1" showInputMessage="1" showErrorMessage="1" sqref="C15:D16 C6:D7" xr:uid="{00000000-0002-0000-0100-000001000000}">
      <formula1>1</formula1>
      <formula2>73396</formula2>
    </dataValidation>
    <dataValidation type="list" allowBlank="1" showInputMessage="1" showErrorMessage="1" sqref="C9:D9" xr:uid="{0555A687-E655-4FD1-9BDF-82CDFD8032ED}">
      <formula1>$Y$1:$Y$2</formula1>
    </dataValidation>
    <dataValidation type="list" allowBlank="1" showInputMessage="1" showErrorMessage="1" sqref="C10:D10" xr:uid="{2D1D329E-7A1B-4416-9E11-D0CF6F423F8C}">
      <formula1>IF(C9=Y1,$Y$3:$Y$12,IF(C9=Y2,Y2,""))</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autoPageBreaks="0"/>
  </sheetPr>
  <dimension ref="B1:F64"/>
  <sheetViews>
    <sheetView showGridLines="0" zoomScaleNormal="100" workbookViewId="0"/>
  </sheetViews>
  <sheetFormatPr defaultColWidth="8.85546875" defaultRowHeight="15"/>
  <cols>
    <col min="1" max="1" width="4.42578125" customWidth="1"/>
    <col min="2" max="2" width="70" customWidth="1"/>
    <col min="3" max="3" width="37.28515625" bestFit="1" customWidth="1"/>
    <col min="4" max="4" width="40.28515625" bestFit="1" customWidth="1"/>
    <col min="5" max="5" width="25.42578125" customWidth="1"/>
    <col min="6" max="6" width="6" customWidth="1"/>
    <col min="7" max="7" width="26.85546875" customWidth="1"/>
    <col min="8" max="8" width="15.5703125" customWidth="1"/>
    <col min="9" max="9" width="20.140625" customWidth="1"/>
  </cols>
  <sheetData>
    <row r="1" spans="2:5" ht="28.5">
      <c r="B1" s="6" t="s">
        <v>5</v>
      </c>
    </row>
    <row r="2" spans="2:5" ht="14.45" customHeight="1">
      <c r="B2" s="144" t="s">
        <v>51</v>
      </c>
      <c r="C2" s="144"/>
      <c r="D2" s="144"/>
      <c r="E2" s="144"/>
    </row>
    <row r="3" spans="2:5" ht="14.45" customHeight="1">
      <c r="B3" s="21" t="s">
        <v>47</v>
      </c>
      <c r="C3" s="171" t="str">
        <f>IF('Section 1. General Information'!$C$13:$D$13="","",'Section 1. General Information'!$C$13:$D$13)</f>
        <v/>
      </c>
      <c r="D3" s="172"/>
      <c r="E3" s="173"/>
    </row>
    <row r="4" spans="2:5" ht="14.45" customHeight="1">
      <c r="B4" s="21" t="s">
        <v>42</v>
      </c>
      <c r="C4" s="171" t="str">
        <f>IF('Section 1. General Information'!$C$4:$D$4="","",'Section 1. General Information'!$C$4:$D$4)</f>
        <v/>
      </c>
      <c r="D4" s="172"/>
      <c r="E4" s="173"/>
    </row>
    <row r="5" spans="2:5" ht="14.45" customHeight="1">
      <c r="B5" s="19" t="s">
        <v>43</v>
      </c>
      <c r="C5" s="174" t="str">
        <f>IF('Section 1. General Information'!$C$6:$D$6="","",'Section 1. General Information'!$C$6:$D$6)</f>
        <v/>
      </c>
      <c r="D5" s="175"/>
      <c r="E5" s="176"/>
    </row>
    <row r="6" spans="2:5" ht="14.45" customHeight="1">
      <c r="B6" s="19" t="s">
        <v>91</v>
      </c>
      <c r="C6" s="174" t="str">
        <f>IF('Section 1. General Information'!$C$7:$D$7="","",'Section 1. General Information'!$C$7:$D$7)</f>
        <v/>
      </c>
      <c r="D6" s="175"/>
      <c r="E6" s="176"/>
    </row>
    <row r="7" spans="2:5" ht="14.45" customHeight="1">
      <c r="B7" s="19" t="s">
        <v>84</v>
      </c>
      <c r="C7" s="153" t="str">
        <f>IF('Section 1. General Information'!$C$8="","",'Section 1. General Information'!$C$8)</f>
        <v/>
      </c>
      <c r="D7" s="154"/>
      <c r="E7" s="155"/>
    </row>
    <row r="8" spans="2:5" ht="14.45" customHeight="1">
      <c r="B8" s="1"/>
      <c r="C8" s="1"/>
      <c r="D8" s="1"/>
      <c r="E8" s="1"/>
    </row>
    <row r="9" spans="2:5" ht="19.149999999999999" customHeight="1">
      <c r="B9" s="158" t="s">
        <v>126</v>
      </c>
      <c r="C9" s="158"/>
      <c r="D9" s="158"/>
      <c r="E9" s="158"/>
    </row>
    <row r="10" spans="2:5" ht="26.45" customHeight="1">
      <c r="B10" s="22" t="s">
        <v>213</v>
      </c>
      <c r="C10" s="156" t="s">
        <v>7</v>
      </c>
      <c r="D10" s="157"/>
      <c r="E10" s="157"/>
    </row>
    <row r="11" spans="2:5" ht="18.600000000000001" customHeight="1">
      <c r="B11" s="23" t="s">
        <v>125</v>
      </c>
      <c r="C11" s="159">
        <f>'Section 6. Depreciation &amp; Amor.'!F30</f>
        <v>0</v>
      </c>
      <c r="D11" s="160"/>
      <c r="E11" s="161"/>
    </row>
    <row r="12" spans="2:5" ht="18.600000000000001" customHeight="1">
      <c r="B12" s="23" t="s">
        <v>133</v>
      </c>
      <c r="C12" s="159">
        <f>'Section 3. Labor'!E13</f>
        <v>0</v>
      </c>
      <c r="D12" s="160"/>
      <c r="E12" s="161"/>
    </row>
    <row r="13" spans="2:5" ht="18.600000000000001" customHeight="1">
      <c r="B13" s="23" t="s">
        <v>134</v>
      </c>
      <c r="C13" s="159">
        <f>'Section 4. Goods and Services'!F11</f>
        <v>0</v>
      </c>
      <c r="D13" s="160"/>
      <c r="E13" s="161"/>
    </row>
    <row r="14" spans="2:5" ht="18.600000000000001" customHeight="1">
      <c r="B14" s="23" t="s">
        <v>135</v>
      </c>
      <c r="C14" s="159">
        <f>'Section 5. Capacity Building'!C10</f>
        <v>0</v>
      </c>
      <c r="D14" s="160"/>
      <c r="E14" s="161"/>
    </row>
    <row r="15" spans="2:5" ht="18.600000000000001" customHeight="1">
      <c r="B15" s="23" t="s">
        <v>136</v>
      </c>
      <c r="C15" s="159">
        <f>'Section 5. Capacity Building'!C13</f>
        <v>0</v>
      </c>
      <c r="D15" s="160"/>
      <c r="E15" s="161"/>
    </row>
    <row r="16" spans="2:5" ht="18.600000000000001" customHeight="1" thickBot="1">
      <c r="B16" s="23" t="s">
        <v>137</v>
      </c>
      <c r="C16" s="164">
        <f>'Section 5. Capacity Building'!C16</f>
        <v>0</v>
      </c>
      <c r="D16" s="165"/>
      <c r="E16" s="166"/>
    </row>
    <row r="17" spans="2:5" ht="18.600000000000001" customHeight="1">
      <c r="B17" s="24" t="s">
        <v>214</v>
      </c>
      <c r="C17" s="167">
        <f>SUM(C11:E16)</f>
        <v>0</v>
      </c>
      <c r="D17" s="167"/>
      <c r="E17" s="168"/>
    </row>
    <row r="18" spans="2:5" ht="18.600000000000001" customHeight="1">
      <c r="B18" s="25" t="s">
        <v>215</v>
      </c>
      <c r="C18" s="169">
        <f>'Section 3. Labor'!E11+'Section 4. Goods and Services'!F10+'Section 5. Capacity Building'!C10+'Section 5. Capacity Building'!C13+'Section 5. Capacity Building'!C16+'Section 6. Depreciation &amp; Amor.'!C10</f>
        <v>0</v>
      </c>
      <c r="D18" s="169"/>
      <c r="E18" s="170"/>
    </row>
    <row r="19" spans="2:5" ht="18.600000000000001" customHeight="1" thickBot="1">
      <c r="B19" s="26" t="s">
        <v>4</v>
      </c>
      <c r="C19" s="162">
        <f>IFERROR(C17/C18,0)</f>
        <v>0</v>
      </c>
      <c r="D19" s="162"/>
      <c r="E19" s="163"/>
    </row>
    <row r="20" spans="2:5">
      <c r="B20" s="7"/>
      <c r="C20" s="1"/>
      <c r="D20" s="1"/>
      <c r="E20" s="1"/>
    </row>
    <row r="21" spans="2:5" s="61" customFormat="1" ht="21">
      <c r="B21" s="122" t="s">
        <v>216</v>
      </c>
      <c r="C21" s="178"/>
      <c r="D21" s="178"/>
    </row>
    <row r="22" spans="2:5" s="61" customFormat="1">
      <c r="B22" s="98" t="s">
        <v>217</v>
      </c>
      <c r="C22" s="99" t="s">
        <v>218</v>
      </c>
      <c r="D22" s="99" t="s">
        <v>219</v>
      </c>
    </row>
    <row r="23" spans="2:5" s="61" customFormat="1">
      <c r="B23" s="98" t="s">
        <v>193</v>
      </c>
      <c r="C23" s="108">
        <v>0</v>
      </c>
      <c r="D23" s="108">
        <v>0</v>
      </c>
    </row>
    <row r="24" spans="2:5" s="61" customFormat="1">
      <c r="B24" s="98" t="s">
        <v>194</v>
      </c>
      <c r="C24" s="108">
        <v>0</v>
      </c>
      <c r="D24" s="108">
        <v>0</v>
      </c>
    </row>
    <row r="25" spans="2:5" s="61" customFormat="1">
      <c r="B25" s="98" t="s">
        <v>195</v>
      </c>
      <c r="C25" s="108">
        <v>0</v>
      </c>
      <c r="D25" s="108">
        <v>0</v>
      </c>
    </row>
    <row r="26" spans="2:5" s="61" customFormat="1">
      <c r="B26" s="98" t="s">
        <v>196</v>
      </c>
      <c r="C26" s="108">
        <v>0</v>
      </c>
      <c r="D26" s="108">
        <v>0</v>
      </c>
    </row>
    <row r="27" spans="2:5" s="61" customFormat="1">
      <c r="B27" s="98" t="s">
        <v>197</v>
      </c>
      <c r="C27" s="108">
        <v>0</v>
      </c>
      <c r="D27" s="108">
        <v>0</v>
      </c>
    </row>
    <row r="28" spans="2:5" s="61" customFormat="1">
      <c r="B28" s="98" t="s">
        <v>198</v>
      </c>
      <c r="C28" s="108">
        <v>0</v>
      </c>
      <c r="D28" s="108">
        <v>0</v>
      </c>
    </row>
    <row r="29" spans="2:5" s="61" customFormat="1">
      <c r="B29" s="98" t="s">
        <v>199</v>
      </c>
      <c r="C29" s="108">
        <v>0</v>
      </c>
      <c r="D29" s="108">
        <v>0</v>
      </c>
    </row>
    <row r="30" spans="2:5" s="61" customFormat="1">
      <c r="B30" s="98" t="s">
        <v>200</v>
      </c>
      <c r="C30" s="108">
        <v>0</v>
      </c>
      <c r="D30" s="108">
        <v>0</v>
      </c>
    </row>
    <row r="31" spans="2:5" s="61" customFormat="1">
      <c r="B31" s="98" t="s">
        <v>201</v>
      </c>
      <c r="C31" s="108">
        <v>0</v>
      </c>
      <c r="D31" s="108">
        <v>0</v>
      </c>
    </row>
    <row r="32" spans="2:5" s="61" customFormat="1">
      <c r="B32" s="98" t="s">
        <v>202</v>
      </c>
      <c r="C32" s="108">
        <v>0</v>
      </c>
      <c r="D32" s="108">
        <v>0</v>
      </c>
    </row>
    <row r="33" spans="2:6">
      <c r="B33" s="7"/>
      <c r="C33" s="1"/>
      <c r="D33" s="1"/>
      <c r="E33" s="1"/>
    </row>
    <row r="34" spans="2:6" s="61" customFormat="1" ht="21.75" thickBot="1">
      <c r="B34" s="122" t="s">
        <v>220</v>
      </c>
      <c r="C34" s="178"/>
      <c r="D34" s="178"/>
    </row>
    <row r="35" spans="2:6" s="61" customFormat="1">
      <c r="B35" s="100" t="s">
        <v>221</v>
      </c>
      <c r="C35" s="179">
        <f>SUM($C$23:$C$32,$C$17)</f>
        <v>0</v>
      </c>
      <c r="D35" s="180"/>
    </row>
    <row r="36" spans="2:6" s="61" customFormat="1">
      <c r="B36" s="101" t="s">
        <v>222</v>
      </c>
      <c r="C36" s="179">
        <f>SUM($D$23:$D$32,$C$18)</f>
        <v>0</v>
      </c>
      <c r="D36" s="180"/>
    </row>
    <row r="37" spans="2:6" s="61" customFormat="1" ht="15.75" thickBot="1">
      <c r="B37" s="102" t="s">
        <v>223</v>
      </c>
      <c r="C37" s="181">
        <f>IFERROR(C35/C36,0)</f>
        <v>0</v>
      </c>
      <c r="D37" s="182"/>
    </row>
    <row r="38" spans="2:6">
      <c r="B38" s="7"/>
      <c r="C38" s="1"/>
      <c r="D38" s="1"/>
      <c r="E38" s="1"/>
    </row>
    <row r="39" spans="2:6">
      <c r="B39" s="7"/>
      <c r="C39" s="1"/>
      <c r="D39" s="1"/>
      <c r="E39" s="1"/>
    </row>
    <row r="40" spans="2:6">
      <c r="B40" s="1" t="s">
        <v>224</v>
      </c>
      <c r="C40" s="1"/>
      <c r="D40" s="103"/>
      <c r="E40" s="103"/>
      <c r="F40" s="1"/>
    </row>
    <row r="41" spans="2:6">
      <c r="B41" s="1" t="s">
        <v>225</v>
      </c>
      <c r="C41" s="1"/>
      <c r="D41" s="103"/>
      <c r="E41" s="103"/>
      <c r="F41" s="1"/>
    </row>
    <row r="42" spans="2:6">
      <c r="B42" s="177" t="s">
        <v>226</v>
      </c>
      <c r="C42" s="177"/>
      <c r="D42" s="177"/>
      <c r="E42" s="177"/>
      <c r="F42" s="177"/>
    </row>
    <row r="46" spans="2:6">
      <c r="C46" s="10"/>
    </row>
    <row r="47" spans="2:6">
      <c r="C47" s="10"/>
    </row>
    <row r="48" spans="2:6">
      <c r="C48" s="10"/>
    </row>
    <row r="49" spans="3:3">
      <c r="C49" s="10"/>
    </row>
    <row r="50" spans="3:3">
      <c r="C50" s="10"/>
    </row>
    <row r="51" spans="3:3">
      <c r="C51" s="10"/>
    </row>
    <row r="52" spans="3:3">
      <c r="C52" s="10"/>
    </row>
    <row r="53" spans="3:3">
      <c r="C53" s="10"/>
    </row>
    <row r="54" spans="3:3">
      <c r="C54" s="10"/>
    </row>
    <row r="55" spans="3:3">
      <c r="C55" s="10"/>
    </row>
    <row r="56" spans="3:3">
      <c r="C56" s="10"/>
    </row>
    <row r="57" spans="3:3">
      <c r="C57" s="10"/>
    </row>
    <row r="58" spans="3:3">
      <c r="C58" s="10"/>
    </row>
    <row r="59" spans="3:3">
      <c r="C59" s="10"/>
    </row>
    <row r="60" spans="3:3">
      <c r="C60" s="10"/>
    </row>
    <row r="61" spans="3:3">
      <c r="C61" s="10"/>
    </row>
    <row r="62" spans="3:3">
      <c r="C62" s="10"/>
    </row>
    <row r="63" spans="3:3">
      <c r="C63" s="10"/>
    </row>
    <row r="64" spans="3:3">
      <c r="C64" s="10"/>
    </row>
  </sheetData>
  <sheetProtection algorithmName="SHA-512" hashValue="EoJvkcAE2pgLNE+kn7g3nBno0PnAOyvJpatjJp3liScfZ8e8GhqhBvmWALolHAd+JB5bPsUjHYDqH2524sUAgQ==" saltValue="8dyZjeqwYU8Bs4hugbNWqw==" spinCount="100000" sheet="1" objects="1" scenarios="1"/>
  <mergeCells count="23">
    <mergeCell ref="B42:F42"/>
    <mergeCell ref="B21:D21"/>
    <mergeCell ref="B34:D34"/>
    <mergeCell ref="C35:D35"/>
    <mergeCell ref="C36:D36"/>
    <mergeCell ref="C37:D37"/>
    <mergeCell ref="B2:E2"/>
    <mergeCell ref="C3:E3"/>
    <mergeCell ref="C4:E4"/>
    <mergeCell ref="C5:E5"/>
    <mergeCell ref="C6:E6"/>
    <mergeCell ref="C19:E19"/>
    <mergeCell ref="C13:E13"/>
    <mergeCell ref="C14:E14"/>
    <mergeCell ref="C15:E15"/>
    <mergeCell ref="C16:E16"/>
    <mergeCell ref="C17:E17"/>
    <mergeCell ref="C18:E18"/>
    <mergeCell ref="C7:E7"/>
    <mergeCell ref="C10:E10"/>
    <mergeCell ref="B9:E9"/>
    <mergeCell ref="C11:E11"/>
    <mergeCell ref="C12:E12"/>
  </mergeCells>
  <conditionalFormatting sqref="C23:D32">
    <cfRule type="expression" dxfId="3" priority="1" stopIfTrue="1">
      <formula>Value=Above400M</formula>
    </cfRule>
  </conditionalFormatting>
  <dataValidations count="1">
    <dataValidation type="decimal" operator="greaterThanOrEqual" allowBlank="1" showInputMessage="1" showErrorMessage="1" sqref="C23:D32" xr:uid="{671D460D-0108-4F6D-9CE5-D792F7C7D236}">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autoPageBreaks="0"/>
  </sheetPr>
  <dimension ref="B1:S23"/>
  <sheetViews>
    <sheetView showGridLines="0" zoomScaleNormal="100" workbookViewId="0"/>
  </sheetViews>
  <sheetFormatPr defaultColWidth="8.85546875" defaultRowHeight="15"/>
  <cols>
    <col min="1" max="1" width="4.42578125" customWidth="1"/>
    <col min="2" max="2" width="64.5703125" customWidth="1"/>
    <col min="3" max="3" width="28.140625" customWidth="1"/>
    <col min="4" max="4" width="32" customWidth="1"/>
    <col min="5" max="5" width="28.140625" customWidth="1"/>
    <col min="6" max="6" width="4.85546875" customWidth="1"/>
    <col min="7" max="7" width="29.85546875" customWidth="1"/>
    <col min="8" max="9" width="26" customWidth="1"/>
  </cols>
  <sheetData>
    <row r="1" spans="2:19" ht="28.5">
      <c r="B1" s="6" t="s">
        <v>46</v>
      </c>
    </row>
    <row r="2" spans="2:19" ht="22.9" customHeight="1">
      <c r="B2" s="144" t="s">
        <v>51</v>
      </c>
      <c r="C2" s="144"/>
      <c r="D2" s="144"/>
      <c r="E2" s="144"/>
    </row>
    <row r="3" spans="2:19" ht="16.899999999999999" customHeight="1">
      <c r="B3" s="21" t="s">
        <v>47</v>
      </c>
      <c r="C3" s="171" t="str">
        <f>IF('Section 1. General Information'!$C$13:$D$13="","",'Section 1. General Information'!$C$13:$D$13)</f>
        <v/>
      </c>
      <c r="D3" s="172"/>
      <c r="E3" s="173"/>
    </row>
    <row r="4" spans="2:19" ht="16.899999999999999" customHeight="1">
      <c r="B4" s="21" t="s">
        <v>42</v>
      </c>
      <c r="C4" s="171" t="str">
        <f>IF('Section 1. General Information'!$C$4:$D$4="","",'Section 1. General Information'!$C$4:$D$4)</f>
        <v/>
      </c>
      <c r="D4" s="172"/>
      <c r="E4" s="173"/>
    </row>
    <row r="5" spans="2:19" ht="16.899999999999999" customHeight="1">
      <c r="B5" s="19" t="s">
        <v>43</v>
      </c>
      <c r="C5" s="174" t="str">
        <f>IF('Section 1. General Information'!$C$6:$D$6="","",'Section 1. General Information'!$C$6:$D$6)</f>
        <v/>
      </c>
      <c r="D5" s="175"/>
      <c r="E5" s="176"/>
    </row>
    <row r="6" spans="2:19" ht="16.899999999999999" customHeight="1">
      <c r="B6" s="19" t="s">
        <v>91</v>
      </c>
      <c r="C6" s="174" t="str">
        <f>IF('Section 1. General Information'!$C$7:$D$7="","",'Section 1. General Information'!$C$7:$D$7)</f>
        <v/>
      </c>
      <c r="D6" s="175"/>
      <c r="E6" s="176"/>
    </row>
    <row r="7" spans="2:19" ht="16.899999999999999" customHeight="1">
      <c r="B7" s="19" t="s">
        <v>84</v>
      </c>
      <c r="C7" s="153" t="str">
        <f>IF('Section 1. General Information'!$C$8="","",'Section 1. General Information'!$C$8)</f>
        <v/>
      </c>
      <c r="D7" s="154"/>
      <c r="E7" s="155"/>
    </row>
    <row r="8" spans="2:19" ht="14.45" customHeight="1">
      <c r="B8" s="1"/>
      <c r="C8" s="1"/>
      <c r="D8" s="1"/>
      <c r="E8" s="1"/>
    </row>
    <row r="9" spans="2:19" ht="22.9" customHeight="1">
      <c r="B9" s="178" t="s">
        <v>227</v>
      </c>
      <c r="C9" s="178"/>
      <c r="D9" s="178"/>
      <c r="E9" s="178"/>
      <c r="F9" s="1"/>
    </row>
    <row r="10" spans="2:19" ht="36.6" customHeight="1">
      <c r="B10" s="28"/>
      <c r="C10" s="29" t="s">
        <v>128</v>
      </c>
      <c r="D10" s="29" t="s">
        <v>129</v>
      </c>
      <c r="E10" s="29" t="s">
        <v>130</v>
      </c>
      <c r="F10" s="1"/>
      <c r="G10" s="183"/>
      <c r="H10" s="183"/>
      <c r="I10" s="183"/>
      <c r="J10" s="183"/>
      <c r="K10" s="183"/>
      <c r="L10" s="183"/>
      <c r="M10" s="183"/>
      <c r="N10" s="183"/>
      <c r="O10" s="183"/>
      <c r="P10" s="183"/>
      <c r="Q10" s="183"/>
      <c r="R10" s="183"/>
      <c r="S10" s="183"/>
    </row>
    <row r="11" spans="2:19" ht="29.25" customHeight="1">
      <c r="B11" s="20" t="s">
        <v>127</v>
      </c>
      <c r="C11" s="14">
        <v>0</v>
      </c>
      <c r="D11" s="14">
        <v>0</v>
      </c>
      <c r="E11" s="32">
        <f>SUM(C11:D11)</f>
        <v>0</v>
      </c>
      <c r="F11" s="1"/>
      <c r="G11" s="183"/>
      <c r="H11" s="183"/>
      <c r="I11" s="183"/>
      <c r="J11" s="183"/>
      <c r="K11" s="183"/>
      <c r="L11" s="183"/>
      <c r="M11" s="183"/>
      <c r="N11" s="183"/>
      <c r="O11" s="183"/>
      <c r="P11" s="183"/>
      <c r="Q11" s="183"/>
      <c r="R11" s="183"/>
      <c r="S11" s="183"/>
    </row>
    <row r="12" spans="2:19" ht="18" customHeight="1">
      <c r="B12" s="21" t="s">
        <v>6</v>
      </c>
      <c r="C12" s="30">
        <v>1</v>
      </c>
      <c r="D12" s="64">
        <v>0.53400000000000003</v>
      </c>
      <c r="E12" s="30">
        <f>IFERROR(E13/E11,0)</f>
        <v>0</v>
      </c>
      <c r="G12" s="183"/>
      <c r="H12" s="183"/>
      <c r="I12" s="183"/>
      <c r="J12" s="183"/>
      <c r="K12" s="183"/>
      <c r="L12" s="183"/>
      <c r="M12" s="183"/>
      <c r="N12" s="183"/>
      <c r="O12" s="183"/>
      <c r="P12" s="183"/>
      <c r="Q12" s="183"/>
      <c r="R12" s="183"/>
      <c r="S12" s="183"/>
    </row>
    <row r="13" spans="2:19" ht="30" customHeight="1">
      <c r="B13" s="21" t="s">
        <v>7</v>
      </c>
      <c r="C13" s="31">
        <f>C11*C12</f>
        <v>0</v>
      </c>
      <c r="D13" s="31">
        <f>D11*D12</f>
        <v>0</v>
      </c>
      <c r="E13" s="31">
        <f>SUM(C13:D13)</f>
        <v>0</v>
      </c>
      <c r="G13" s="183"/>
      <c r="H13" s="183"/>
      <c r="I13" s="183"/>
      <c r="J13" s="183"/>
      <c r="K13" s="183"/>
      <c r="L13" s="183"/>
      <c r="M13" s="183"/>
      <c r="N13" s="183"/>
      <c r="O13" s="183"/>
      <c r="P13" s="183"/>
      <c r="Q13" s="183"/>
      <c r="R13" s="183"/>
      <c r="S13" s="183"/>
    </row>
    <row r="14" spans="2:19" ht="14.45" customHeight="1">
      <c r="B14" s="1"/>
      <c r="C14" s="1"/>
      <c r="D14" s="1"/>
      <c r="E14" s="1"/>
    </row>
    <row r="15" spans="2:19" ht="29.25" customHeight="1">
      <c r="B15" s="178" t="s">
        <v>252</v>
      </c>
      <c r="C15" s="178"/>
      <c r="D15" s="178"/>
      <c r="E15" s="178"/>
    </row>
    <row r="16" spans="2:19" ht="24" customHeight="1">
      <c r="B16" s="28"/>
      <c r="C16" s="29" t="s">
        <v>253</v>
      </c>
      <c r="D16" s="29" t="s">
        <v>254</v>
      </c>
      <c r="E16" s="29" t="s">
        <v>255</v>
      </c>
    </row>
    <row r="17" spans="2:5" ht="19.5" customHeight="1">
      <c r="B17" s="28" t="s">
        <v>256</v>
      </c>
      <c r="C17" s="109">
        <v>0</v>
      </c>
      <c r="D17" s="109">
        <v>0</v>
      </c>
      <c r="E17" s="110">
        <f>SUM(C17:D17)</f>
        <v>0</v>
      </c>
    </row>
    <row r="18" spans="2:5" ht="22.5" customHeight="1">
      <c r="B18" s="21" t="s">
        <v>257</v>
      </c>
      <c r="C18" s="109">
        <v>0</v>
      </c>
      <c r="D18" s="109">
        <v>0</v>
      </c>
      <c r="E18" s="110">
        <f>SUM(C18:D18)</f>
        <v>0</v>
      </c>
    </row>
    <row r="19" spans="2:5" ht="21.75" customHeight="1">
      <c r="B19" s="21" t="s">
        <v>258</v>
      </c>
      <c r="C19" s="110">
        <f>SUM(C17:C18)</f>
        <v>0</v>
      </c>
      <c r="D19" s="110">
        <f>SUM(D17:D18)</f>
        <v>0</v>
      </c>
      <c r="E19" s="110">
        <f>SUM(E17:E18)</f>
        <v>0</v>
      </c>
    </row>
    <row r="20" spans="2:5" ht="14.45" customHeight="1">
      <c r="B20" s="1"/>
      <c r="C20" s="1"/>
      <c r="D20" s="1"/>
      <c r="E20" s="1"/>
    </row>
    <row r="21" spans="2:5">
      <c r="B21" s="1" t="s">
        <v>228</v>
      </c>
    </row>
    <row r="22" spans="2:5">
      <c r="B22" s="1" t="s">
        <v>229</v>
      </c>
    </row>
    <row r="23" spans="2:5">
      <c r="B23" s="1" t="s">
        <v>230</v>
      </c>
    </row>
  </sheetData>
  <sheetProtection algorithmName="SHA-512" hashValue="D02crTbg1HxVgENF0CxabrBpmFnmWO7zueKtTf5NSfBdKiumqku64CwcmzM7S4PGT307iefC2N/MLPaCGTDduQ==" saltValue="4Yh6CH979xqPf+zkSg9ZmA==" spinCount="100000" sheet="1" objects="1" scenarios="1"/>
  <mergeCells count="9">
    <mergeCell ref="B15:E15"/>
    <mergeCell ref="G10:S13"/>
    <mergeCell ref="B2:E2"/>
    <mergeCell ref="C3:E3"/>
    <mergeCell ref="C4:E4"/>
    <mergeCell ref="C5:E5"/>
    <mergeCell ref="C6:E6"/>
    <mergeCell ref="C7:E7"/>
    <mergeCell ref="B9:E9"/>
  </mergeCells>
  <conditionalFormatting sqref="B11:E11">
    <cfRule type="expression" dxfId="2" priority="9" stopIfTrue="1">
      <formula>Value=Above400M</formula>
    </cfRule>
  </conditionalFormatting>
  <conditionalFormatting sqref="C17:E18">
    <cfRule type="expression" dxfId="1" priority="1" stopIfTrue="1">
      <formula>Value=Above400M</formula>
    </cfRule>
  </conditionalFormatting>
  <dataValidations count="1">
    <dataValidation type="decimal" operator="greaterThanOrEqual" allowBlank="1" showInputMessage="1" showErrorMessage="1" sqref="C11:D11 C17:D18" xr:uid="{00000000-0002-0000-03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E12"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autoPageBreaks="0"/>
  </sheetPr>
  <dimension ref="A1:AC64"/>
  <sheetViews>
    <sheetView showGridLines="0" zoomScaleNormal="100" workbookViewId="0"/>
  </sheetViews>
  <sheetFormatPr defaultColWidth="8.85546875" defaultRowHeight="15"/>
  <cols>
    <col min="1" max="1" width="4.42578125" customWidth="1"/>
    <col min="2" max="2" width="64.5703125" customWidth="1"/>
    <col min="3" max="3" width="14.42578125" customWidth="1"/>
    <col min="4" max="4" width="10.28515625" customWidth="1"/>
    <col min="5" max="5" width="33" customWidth="1"/>
    <col min="6" max="6" width="34.140625" bestFit="1" customWidth="1"/>
    <col min="7" max="7" width="20.7109375" customWidth="1"/>
    <col min="8" max="8" width="19.140625" customWidth="1"/>
    <col min="9" max="9" width="36.5703125" customWidth="1"/>
    <col min="10" max="10" width="43.140625" customWidth="1"/>
    <col min="11" max="11" width="24.28515625" customWidth="1"/>
    <col min="12" max="12" width="12.7109375" customWidth="1"/>
    <col min="13" max="13" width="13.85546875" customWidth="1"/>
    <col min="14" max="14" width="30.28515625" customWidth="1"/>
    <col min="15" max="15" width="26.85546875" customWidth="1"/>
    <col min="16" max="16" width="15.42578125" customWidth="1"/>
  </cols>
  <sheetData>
    <row r="1" spans="1:29" ht="28.5">
      <c r="B1" s="6" t="s">
        <v>8</v>
      </c>
    </row>
    <row r="2" spans="1:29" ht="21">
      <c r="B2" s="144" t="s">
        <v>51</v>
      </c>
      <c r="C2" s="144"/>
      <c r="D2" s="144"/>
      <c r="E2" s="144"/>
      <c r="F2" s="144"/>
      <c r="G2" s="144"/>
    </row>
    <row r="3" spans="1:29" ht="14.45" customHeight="1">
      <c r="B3" s="21" t="s">
        <v>47</v>
      </c>
      <c r="C3" s="198" t="str">
        <f>IF('Section 1. General Information'!$C$13:$D$13="","",'Section 1. General Information'!$C$13:$D$13)</f>
        <v/>
      </c>
      <c r="D3" s="198"/>
      <c r="E3" s="198"/>
      <c r="F3" s="198"/>
      <c r="G3" s="198"/>
    </row>
    <row r="4" spans="1:29" ht="14.45" customHeight="1">
      <c r="B4" s="21" t="s">
        <v>42</v>
      </c>
      <c r="C4" s="199" t="str">
        <f>IF('Section 1. General Information'!$C$4:$D$4="","",'Section 1. General Information'!$C$4:$D$4)</f>
        <v/>
      </c>
      <c r="D4" s="199"/>
      <c r="E4" s="199"/>
      <c r="F4" s="199"/>
      <c r="G4" s="199"/>
    </row>
    <row r="5" spans="1:29" ht="14.45" customHeight="1">
      <c r="B5" s="21" t="s">
        <v>43</v>
      </c>
      <c r="C5" s="200" t="str">
        <f>IF('Section 1. General Information'!$C$6:$D$6="","",'Section 1. General Information'!$C$6:$D$6)</f>
        <v/>
      </c>
      <c r="D5" s="200"/>
      <c r="E5" s="200"/>
      <c r="F5" s="200"/>
      <c r="G5" s="200"/>
    </row>
    <row r="6" spans="1:29" ht="14.45" customHeight="1">
      <c r="B6" s="21" t="s">
        <v>91</v>
      </c>
      <c r="C6" s="200" t="str">
        <f>IF('Section 1. General Information'!$C$7:$D$7="","",'Section 1. General Information'!$C$7:$D$7)</f>
        <v/>
      </c>
      <c r="D6" s="200"/>
      <c r="E6" s="200"/>
      <c r="F6" s="200"/>
      <c r="G6" s="200"/>
    </row>
    <row r="7" spans="1:29" ht="14.45" customHeight="1">
      <c r="B7" s="19" t="s">
        <v>84</v>
      </c>
      <c r="C7" s="201" t="str">
        <f>IF('Section 1. General Information'!$C$8="","",'Section 1. General Information'!$C$8)</f>
        <v/>
      </c>
      <c r="D7" s="201"/>
      <c r="E7" s="201"/>
      <c r="F7" s="201"/>
      <c r="G7" s="201"/>
    </row>
    <row r="8" spans="1:29" ht="14.45" customHeight="1">
      <c r="B8" s="1"/>
      <c r="C8" s="1"/>
      <c r="D8" s="1"/>
      <c r="E8" s="1"/>
      <c r="F8" s="1"/>
      <c r="G8" s="1"/>
      <c r="H8" s="1"/>
      <c r="I8" s="1"/>
      <c r="O8" s="1"/>
    </row>
    <row r="9" spans="1:29" ht="21">
      <c r="B9" s="178" t="s">
        <v>131</v>
      </c>
      <c r="C9" s="178"/>
      <c r="D9" s="178"/>
      <c r="E9" s="178"/>
      <c r="F9" s="178"/>
      <c r="G9" s="178"/>
      <c r="H9" s="59"/>
      <c r="N9" s="1"/>
      <c r="P9" s="5"/>
    </row>
    <row r="10" spans="1:29" ht="26.25" customHeight="1">
      <c r="B10" s="190" t="s">
        <v>231</v>
      </c>
      <c r="C10" s="190"/>
      <c r="D10" s="190"/>
      <c r="E10" s="190"/>
      <c r="F10" s="196">
        <v>0</v>
      </c>
      <c r="G10" s="196"/>
      <c r="H10" s="58"/>
      <c r="N10" s="1"/>
      <c r="P10" s="183"/>
      <c r="Q10" s="183"/>
      <c r="R10" s="183"/>
      <c r="S10" s="183"/>
      <c r="T10" s="183"/>
      <c r="U10" s="183"/>
      <c r="V10" s="183"/>
      <c r="W10" s="183"/>
      <c r="X10" s="183"/>
      <c r="Y10" s="183"/>
      <c r="Z10" s="183"/>
      <c r="AA10" s="183"/>
      <c r="AB10" s="183"/>
    </row>
    <row r="11" spans="1:29" ht="26.25" customHeight="1">
      <c r="B11" s="190" t="s">
        <v>138</v>
      </c>
      <c r="C11" s="190"/>
      <c r="D11" s="190"/>
      <c r="E11" s="190"/>
      <c r="F11" s="197">
        <f>O57</f>
        <v>0</v>
      </c>
      <c r="G11" s="197"/>
      <c r="H11" s="60"/>
      <c r="N11" s="1"/>
      <c r="P11" s="183"/>
      <c r="Q11" s="183"/>
      <c r="R11" s="183"/>
      <c r="S11" s="183"/>
      <c r="T11" s="183"/>
      <c r="U11" s="183"/>
      <c r="V11" s="183"/>
      <c r="W11" s="183"/>
      <c r="X11" s="183"/>
      <c r="Y11" s="183"/>
      <c r="Z11" s="183"/>
      <c r="AA11" s="183"/>
      <c r="AB11" s="183"/>
    </row>
    <row r="12" spans="1:29" ht="14.45" customHeight="1">
      <c r="B12" s="1"/>
      <c r="C12" s="1"/>
      <c r="D12" s="1"/>
      <c r="E12" s="1"/>
      <c r="F12" s="1"/>
      <c r="G12" s="1"/>
      <c r="H12" s="1"/>
      <c r="I12" s="1"/>
      <c r="J12" s="1"/>
      <c r="K12" s="1"/>
      <c r="L12" s="1"/>
      <c r="M12" s="1"/>
      <c r="N12" s="1"/>
      <c r="O12" s="1"/>
    </row>
    <row r="13" spans="1:29" ht="22.5" customHeight="1">
      <c r="B13" s="178" t="s">
        <v>132</v>
      </c>
      <c r="C13" s="178"/>
      <c r="D13" s="178"/>
      <c r="E13" s="178"/>
      <c r="F13" s="178"/>
      <c r="G13" s="178"/>
      <c r="H13" s="178"/>
      <c r="I13" s="178"/>
      <c r="J13" s="178"/>
      <c r="K13" s="178"/>
      <c r="L13" s="178"/>
      <c r="M13" s="178"/>
      <c r="N13" s="178"/>
      <c r="O13" s="178"/>
    </row>
    <row r="14" spans="1:29" ht="53.25" customHeight="1">
      <c r="B14" s="191" t="s">
        <v>261</v>
      </c>
      <c r="C14" s="192"/>
      <c r="D14" s="193"/>
      <c r="E14" s="29" t="s">
        <v>260</v>
      </c>
      <c r="F14" s="29" t="s">
        <v>232</v>
      </c>
      <c r="G14" s="29" t="s">
        <v>92</v>
      </c>
      <c r="H14" s="29" t="s">
        <v>93</v>
      </c>
      <c r="I14" s="29" t="s">
        <v>259</v>
      </c>
      <c r="J14" s="29" t="s">
        <v>233</v>
      </c>
      <c r="K14" s="29" t="s">
        <v>262</v>
      </c>
      <c r="L14" s="29" t="s">
        <v>139</v>
      </c>
      <c r="M14" s="29" t="s">
        <v>140</v>
      </c>
      <c r="N14" s="29" t="s">
        <v>263</v>
      </c>
      <c r="O14" s="29" t="s">
        <v>234</v>
      </c>
      <c r="Q14" s="183"/>
      <c r="R14" s="183"/>
      <c r="S14" s="183"/>
      <c r="T14" s="183"/>
      <c r="U14" s="183"/>
      <c r="V14" s="183"/>
      <c r="W14" s="183"/>
      <c r="X14" s="183"/>
      <c r="Y14" s="183"/>
      <c r="Z14" s="183"/>
      <c r="AA14" s="183"/>
      <c r="AB14" s="183"/>
      <c r="AC14" s="183"/>
    </row>
    <row r="15" spans="1:29">
      <c r="A15" s="8">
        <v>1</v>
      </c>
      <c r="B15" s="187"/>
      <c r="C15" s="188"/>
      <c r="D15" s="189"/>
      <c r="E15" s="12"/>
      <c r="F15" s="12"/>
      <c r="G15" s="12"/>
      <c r="H15" s="12"/>
      <c r="I15" s="111"/>
      <c r="J15" s="12"/>
      <c r="K15" s="13"/>
      <c r="L15" s="33">
        <f>IFERROR(INDEX('Appendix A'!$C$5:$C$42,MATCH('Section 4. Goods and Services'!J15,'Appendix A'!$B$5:$B$42,0)),0)</f>
        <v>0</v>
      </c>
      <c r="M15" s="33">
        <f>IF(K15&lt;=0,L15,K15)</f>
        <v>0</v>
      </c>
      <c r="N15" s="15">
        <v>0</v>
      </c>
      <c r="O15" s="36">
        <f>N15*M15</f>
        <v>0</v>
      </c>
      <c r="P15" s="57" t="str">
        <f>IF(O15&gt;1%*'Section 2. Evaluation'!$C$18,"To be confirmed","")</f>
        <v/>
      </c>
      <c r="Q15" s="183"/>
      <c r="R15" s="183"/>
      <c r="S15" s="183"/>
      <c r="T15" s="183"/>
      <c r="U15" s="183"/>
      <c r="V15" s="183"/>
      <c r="W15" s="183"/>
      <c r="X15" s="183"/>
      <c r="Y15" s="183"/>
      <c r="Z15" s="183"/>
      <c r="AA15" s="183"/>
      <c r="AB15" s="183"/>
      <c r="AC15" s="183"/>
    </row>
    <row r="16" spans="1:29">
      <c r="A16" s="8">
        <f>A15+1</f>
        <v>2</v>
      </c>
      <c r="B16" s="187"/>
      <c r="C16" s="188"/>
      <c r="D16" s="189"/>
      <c r="E16" s="12"/>
      <c r="F16" s="12"/>
      <c r="G16" s="12"/>
      <c r="H16" s="12"/>
      <c r="I16" s="111"/>
      <c r="J16" s="12"/>
      <c r="K16" s="13"/>
      <c r="L16" s="33">
        <f>IFERROR(INDEX('Appendix A'!$C$5:$C$42,MATCH('Section 4. Goods and Services'!J16,'Appendix A'!$B$5:$B$42,0)),0)</f>
        <v>0</v>
      </c>
      <c r="M16" s="33">
        <f t="shared" ref="M16:M54" si="0">IF(K16&lt;=0,L16,K16)</f>
        <v>0</v>
      </c>
      <c r="N16" s="15">
        <v>0</v>
      </c>
      <c r="O16" s="36">
        <f t="shared" ref="O16:O56" si="1">N16*M16</f>
        <v>0</v>
      </c>
      <c r="P16" s="57" t="str">
        <f>IF(O16&gt;1%*'Section 2. Evaluation'!$C$18,"To be confirmed","")</f>
        <v/>
      </c>
      <c r="Q16" s="183"/>
      <c r="R16" s="183"/>
      <c r="S16" s="183"/>
      <c r="T16" s="183"/>
      <c r="U16" s="183"/>
      <c r="V16" s="183"/>
      <c r="W16" s="183"/>
      <c r="X16" s="183"/>
      <c r="Y16" s="183"/>
      <c r="Z16" s="183"/>
      <c r="AA16" s="183"/>
      <c r="AB16" s="183"/>
      <c r="AC16" s="183"/>
    </row>
    <row r="17" spans="1:29">
      <c r="A17" s="8">
        <f t="shared" ref="A17:A54" si="2">A16+1</f>
        <v>3</v>
      </c>
      <c r="B17" s="187"/>
      <c r="C17" s="188"/>
      <c r="D17" s="189"/>
      <c r="E17" s="12"/>
      <c r="F17" s="12"/>
      <c r="G17" s="12"/>
      <c r="H17" s="12"/>
      <c r="I17" s="111"/>
      <c r="J17" s="12"/>
      <c r="K17" s="13"/>
      <c r="L17" s="33">
        <f>IFERROR(INDEX('Appendix A'!$C$5:$C$42,MATCH('Section 4. Goods and Services'!J17,'Appendix A'!$B$5:$B$42,0)),0)</f>
        <v>0</v>
      </c>
      <c r="M17" s="33">
        <f t="shared" si="0"/>
        <v>0</v>
      </c>
      <c r="N17" s="15">
        <v>0</v>
      </c>
      <c r="O17" s="36">
        <f t="shared" si="1"/>
        <v>0</v>
      </c>
      <c r="P17" s="57" t="str">
        <f>IF(O17&gt;1%*'Section 2. Evaluation'!$C$18,"To be confirmed","")</f>
        <v/>
      </c>
      <c r="Q17" s="183"/>
      <c r="R17" s="183"/>
      <c r="S17" s="183"/>
      <c r="T17" s="183"/>
      <c r="U17" s="183"/>
      <c r="V17" s="183"/>
      <c r="W17" s="183"/>
      <c r="X17" s="183"/>
      <c r="Y17" s="183"/>
      <c r="Z17" s="183"/>
      <c r="AA17" s="183"/>
      <c r="AB17" s="183"/>
      <c r="AC17" s="183"/>
    </row>
    <row r="18" spans="1:29">
      <c r="A18" s="8">
        <f t="shared" si="2"/>
        <v>4</v>
      </c>
      <c r="B18" s="187"/>
      <c r="C18" s="188"/>
      <c r="D18" s="189"/>
      <c r="E18" s="12"/>
      <c r="F18" s="12"/>
      <c r="G18" s="12"/>
      <c r="H18" s="12"/>
      <c r="I18" s="111"/>
      <c r="J18" s="12"/>
      <c r="K18" s="13"/>
      <c r="L18" s="33">
        <f>IFERROR(INDEX('Appendix A'!$C$5:$C$42,MATCH('Section 4. Goods and Services'!J18,'Appendix A'!$B$5:$B$42,0)),0)</f>
        <v>0</v>
      </c>
      <c r="M18" s="33">
        <f t="shared" si="0"/>
        <v>0</v>
      </c>
      <c r="N18" s="15">
        <v>0</v>
      </c>
      <c r="O18" s="36">
        <f t="shared" si="1"/>
        <v>0</v>
      </c>
      <c r="P18" s="57" t="str">
        <f>IF(O18&gt;1%*'Section 2. Evaluation'!$C$18,"To be confirmed","")</f>
        <v/>
      </c>
      <c r="Q18" s="183"/>
      <c r="R18" s="183"/>
      <c r="S18" s="183"/>
      <c r="T18" s="183"/>
      <c r="U18" s="183"/>
      <c r="V18" s="183"/>
      <c r="W18" s="183"/>
      <c r="X18" s="183"/>
      <c r="Y18" s="183"/>
      <c r="Z18" s="183"/>
      <c r="AA18" s="183"/>
      <c r="AB18" s="183"/>
      <c r="AC18" s="183"/>
    </row>
    <row r="19" spans="1:29">
      <c r="A19" s="8">
        <f t="shared" si="2"/>
        <v>5</v>
      </c>
      <c r="B19" s="187"/>
      <c r="C19" s="188"/>
      <c r="D19" s="189"/>
      <c r="E19" s="12"/>
      <c r="F19" s="12"/>
      <c r="G19" s="12"/>
      <c r="H19" s="12"/>
      <c r="I19" s="111"/>
      <c r="J19" s="12"/>
      <c r="K19" s="13"/>
      <c r="L19" s="33">
        <f>IFERROR(INDEX('Appendix A'!$C$5:$C$42,MATCH('Section 4. Goods and Services'!J19,'Appendix A'!$B$5:$B$42,0)),0)</f>
        <v>0</v>
      </c>
      <c r="M19" s="33">
        <f t="shared" si="0"/>
        <v>0</v>
      </c>
      <c r="N19" s="15">
        <v>0</v>
      </c>
      <c r="O19" s="36">
        <f t="shared" si="1"/>
        <v>0</v>
      </c>
      <c r="P19" s="57" t="str">
        <f>IF(O19&gt;1%*'Section 2. Evaluation'!$C$18,"To be confirmed","")</f>
        <v/>
      </c>
      <c r="Q19" s="183"/>
      <c r="R19" s="183"/>
      <c r="S19" s="183"/>
      <c r="T19" s="183"/>
      <c r="U19" s="183"/>
      <c r="V19" s="183"/>
      <c r="W19" s="183"/>
      <c r="X19" s="183"/>
      <c r="Y19" s="183"/>
      <c r="Z19" s="183"/>
      <c r="AA19" s="183"/>
      <c r="AB19" s="183"/>
      <c r="AC19" s="183"/>
    </row>
    <row r="20" spans="1:29">
      <c r="A20" s="8">
        <f t="shared" si="2"/>
        <v>6</v>
      </c>
      <c r="B20" s="187"/>
      <c r="C20" s="188"/>
      <c r="D20" s="189"/>
      <c r="E20" s="12"/>
      <c r="F20" s="12"/>
      <c r="G20" s="12"/>
      <c r="H20" s="12"/>
      <c r="I20" s="111"/>
      <c r="J20" s="12"/>
      <c r="K20" s="13"/>
      <c r="L20" s="33">
        <f>IFERROR(INDEX('Appendix A'!$C$5:$C$42,MATCH('Section 4. Goods and Services'!J20,'Appendix A'!$B$5:$B$42,0)),0)</f>
        <v>0</v>
      </c>
      <c r="M20" s="33">
        <f t="shared" si="0"/>
        <v>0</v>
      </c>
      <c r="N20" s="15">
        <v>0</v>
      </c>
      <c r="O20" s="36">
        <f t="shared" si="1"/>
        <v>0</v>
      </c>
      <c r="P20" s="57" t="str">
        <f>IF(O20&gt;1%*'Section 2. Evaluation'!$C$18,"To be confirmed","")</f>
        <v/>
      </c>
      <c r="Q20" s="183"/>
      <c r="R20" s="183"/>
      <c r="S20" s="183"/>
      <c r="T20" s="183"/>
      <c r="U20" s="183"/>
      <c r="V20" s="183"/>
      <c r="W20" s="183"/>
      <c r="X20" s="183"/>
      <c r="Y20" s="183"/>
      <c r="Z20" s="183"/>
      <c r="AA20" s="183"/>
      <c r="AB20" s="183"/>
      <c r="AC20" s="183"/>
    </row>
    <row r="21" spans="1:29">
      <c r="A21" s="8">
        <f t="shared" si="2"/>
        <v>7</v>
      </c>
      <c r="B21" s="187"/>
      <c r="C21" s="188"/>
      <c r="D21" s="189"/>
      <c r="E21" s="12"/>
      <c r="F21" s="12"/>
      <c r="G21" s="12"/>
      <c r="H21" s="12"/>
      <c r="I21" s="111"/>
      <c r="J21" s="12"/>
      <c r="K21" s="13"/>
      <c r="L21" s="33">
        <f>IFERROR(INDEX('Appendix A'!$C$5:$C$42,MATCH('Section 4. Goods and Services'!J21,'Appendix A'!$B$5:$B$42,0)),0)</f>
        <v>0</v>
      </c>
      <c r="M21" s="33">
        <f t="shared" si="0"/>
        <v>0</v>
      </c>
      <c r="N21" s="15">
        <v>0</v>
      </c>
      <c r="O21" s="36">
        <f t="shared" si="1"/>
        <v>0</v>
      </c>
      <c r="P21" s="57" t="str">
        <f>IF(O21&gt;1%*'Section 2. Evaluation'!$C$18,"To be confirmed","")</f>
        <v/>
      </c>
      <c r="Q21" s="183"/>
      <c r="R21" s="183"/>
      <c r="S21" s="183"/>
      <c r="T21" s="183"/>
      <c r="U21" s="183"/>
      <c r="V21" s="183"/>
      <c r="W21" s="183"/>
      <c r="X21" s="183"/>
      <c r="Y21" s="183"/>
      <c r="Z21" s="183"/>
      <c r="AA21" s="183"/>
      <c r="AB21" s="183"/>
      <c r="AC21" s="183"/>
    </row>
    <row r="22" spans="1:29">
      <c r="A22" s="8">
        <f t="shared" si="2"/>
        <v>8</v>
      </c>
      <c r="B22" s="187"/>
      <c r="C22" s="188"/>
      <c r="D22" s="189"/>
      <c r="E22" s="12"/>
      <c r="F22" s="12"/>
      <c r="G22" s="12"/>
      <c r="H22" s="12"/>
      <c r="I22" s="111"/>
      <c r="J22" s="12"/>
      <c r="K22" s="13"/>
      <c r="L22" s="33">
        <f>IFERROR(INDEX('Appendix A'!$C$5:$C$42,MATCH('Section 4. Goods and Services'!J22,'Appendix A'!$B$5:$B$42,0)),0)</f>
        <v>0</v>
      </c>
      <c r="M22" s="33">
        <f t="shared" si="0"/>
        <v>0</v>
      </c>
      <c r="N22" s="15">
        <v>0</v>
      </c>
      <c r="O22" s="36">
        <f t="shared" si="1"/>
        <v>0</v>
      </c>
      <c r="P22" s="57" t="str">
        <f>IF(O22&gt;1%*'Section 2. Evaluation'!$C$18,"To be confirmed","")</f>
        <v/>
      </c>
      <c r="Q22" s="183"/>
      <c r="R22" s="183"/>
      <c r="S22" s="183"/>
      <c r="T22" s="183"/>
      <c r="U22" s="183"/>
      <c r="V22" s="183"/>
      <c r="W22" s="183"/>
      <c r="X22" s="183"/>
      <c r="Y22" s="183"/>
      <c r="Z22" s="183"/>
      <c r="AA22" s="183"/>
      <c r="AB22" s="183"/>
      <c r="AC22" s="183"/>
    </row>
    <row r="23" spans="1:29">
      <c r="A23" s="8">
        <f t="shared" si="2"/>
        <v>9</v>
      </c>
      <c r="B23" s="187"/>
      <c r="C23" s="188"/>
      <c r="D23" s="189"/>
      <c r="E23" s="12"/>
      <c r="F23" s="12"/>
      <c r="G23" s="12"/>
      <c r="H23" s="12"/>
      <c r="I23" s="111"/>
      <c r="J23" s="12"/>
      <c r="K23" s="13"/>
      <c r="L23" s="33">
        <f>IFERROR(INDEX('Appendix A'!$C$5:$C$42,MATCH('Section 4. Goods and Services'!J23,'Appendix A'!$B$5:$B$42,0)),0)</f>
        <v>0</v>
      </c>
      <c r="M23" s="33">
        <f t="shared" si="0"/>
        <v>0</v>
      </c>
      <c r="N23" s="15">
        <v>0</v>
      </c>
      <c r="O23" s="36">
        <f t="shared" si="1"/>
        <v>0</v>
      </c>
      <c r="P23" s="57" t="str">
        <f>IF(O23&gt;1%*'Section 2. Evaluation'!$C$18,"To be confirmed","")</f>
        <v/>
      </c>
      <c r="Q23" s="183"/>
      <c r="R23" s="183"/>
      <c r="S23" s="183"/>
      <c r="T23" s="183"/>
      <c r="U23" s="183"/>
      <c r="V23" s="183"/>
      <c r="W23" s="183"/>
      <c r="X23" s="183"/>
      <c r="Y23" s="183"/>
      <c r="Z23" s="183"/>
      <c r="AA23" s="183"/>
      <c r="AB23" s="183"/>
      <c r="AC23" s="183"/>
    </row>
    <row r="24" spans="1:29">
      <c r="A24" s="8">
        <f t="shared" si="2"/>
        <v>10</v>
      </c>
      <c r="B24" s="187"/>
      <c r="C24" s="188"/>
      <c r="D24" s="189"/>
      <c r="E24" s="12"/>
      <c r="F24" s="12"/>
      <c r="G24" s="12"/>
      <c r="H24" s="12"/>
      <c r="I24" s="111"/>
      <c r="J24" s="12"/>
      <c r="K24" s="13"/>
      <c r="L24" s="33">
        <f>IFERROR(INDEX('Appendix A'!$C$5:$C$42,MATCH('Section 4. Goods and Services'!J24,'Appendix A'!$B$5:$B$42,0)),0)</f>
        <v>0</v>
      </c>
      <c r="M24" s="33">
        <f t="shared" si="0"/>
        <v>0</v>
      </c>
      <c r="N24" s="15">
        <v>0</v>
      </c>
      <c r="O24" s="36">
        <f t="shared" si="1"/>
        <v>0</v>
      </c>
      <c r="P24" s="57" t="str">
        <f>IF(O24&gt;1%*'Section 2. Evaluation'!$C$18,"To be confirmed","")</f>
        <v/>
      </c>
      <c r="Q24" s="183"/>
      <c r="R24" s="183"/>
      <c r="S24" s="183"/>
      <c r="T24" s="183"/>
      <c r="U24" s="183"/>
      <c r="V24" s="183"/>
      <c r="W24" s="183"/>
      <c r="X24" s="183"/>
      <c r="Y24" s="183"/>
      <c r="Z24" s="183"/>
      <c r="AA24" s="183"/>
      <c r="AB24" s="183"/>
      <c r="AC24" s="183"/>
    </row>
    <row r="25" spans="1:29">
      <c r="A25" s="8">
        <f t="shared" si="2"/>
        <v>11</v>
      </c>
      <c r="B25" s="187"/>
      <c r="C25" s="188"/>
      <c r="D25" s="189"/>
      <c r="E25" s="12"/>
      <c r="F25" s="12"/>
      <c r="G25" s="12"/>
      <c r="H25" s="12"/>
      <c r="I25" s="111"/>
      <c r="J25" s="12"/>
      <c r="K25" s="13"/>
      <c r="L25" s="33">
        <f>IFERROR(INDEX('Appendix A'!$C$5:$C$42,MATCH('Section 4. Goods and Services'!J25,'Appendix A'!$B$5:$B$42,0)),0)</f>
        <v>0</v>
      </c>
      <c r="M25" s="33">
        <f t="shared" si="0"/>
        <v>0</v>
      </c>
      <c r="N25" s="15">
        <v>0</v>
      </c>
      <c r="O25" s="36">
        <f t="shared" si="1"/>
        <v>0</v>
      </c>
      <c r="P25" s="57" t="str">
        <f>IF(O25&gt;1%*'Section 2. Evaluation'!$C$18,"To be confirmed","")</f>
        <v/>
      </c>
      <c r="Q25" s="183"/>
      <c r="R25" s="183"/>
      <c r="S25" s="183"/>
      <c r="T25" s="183"/>
      <c r="U25" s="183"/>
      <c r="V25" s="183"/>
      <c r="W25" s="183"/>
      <c r="X25" s="183"/>
      <c r="Y25" s="183"/>
      <c r="Z25" s="183"/>
      <c r="AA25" s="183"/>
      <c r="AB25" s="183"/>
      <c r="AC25" s="183"/>
    </row>
    <row r="26" spans="1:29">
      <c r="A26" s="8">
        <f t="shared" si="2"/>
        <v>12</v>
      </c>
      <c r="B26" s="187"/>
      <c r="C26" s="188"/>
      <c r="D26" s="189"/>
      <c r="E26" s="12"/>
      <c r="F26" s="12"/>
      <c r="G26" s="12"/>
      <c r="H26" s="12"/>
      <c r="I26" s="111"/>
      <c r="J26" s="12"/>
      <c r="K26" s="13"/>
      <c r="L26" s="33">
        <f>IFERROR(INDEX('Appendix A'!$C$5:$C$42,MATCH('Section 4. Goods and Services'!J26,'Appendix A'!$B$5:$B$42,0)),0)</f>
        <v>0</v>
      </c>
      <c r="M26" s="33">
        <f t="shared" si="0"/>
        <v>0</v>
      </c>
      <c r="N26" s="15">
        <v>0</v>
      </c>
      <c r="O26" s="36">
        <f t="shared" si="1"/>
        <v>0</v>
      </c>
      <c r="P26" s="57" t="str">
        <f>IF(O26&gt;1%*'Section 2. Evaluation'!$C$18,"To be confirmed","")</f>
        <v/>
      </c>
      <c r="Q26" s="183"/>
      <c r="R26" s="183"/>
      <c r="S26" s="183"/>
      <c r="T26" s="183"/>
      <c r="U26" s="183"/>
      <c r="V26" s="183"/>
      <c r="W26" s="183"/>
      <c r="X26" s="183"/>
      <c r="Y26" s="183"/>
      <c r="Z26" s="183"/>
      <c r="AA26" s="183"/>
      <c r="AB26" s="183"/>
      <c r="AC26" s="183"/>
    </row>
    <row r="27" spans="1:29">
      <c r="A27" s="8">
        <f t="shared" si="2"/>
        <v>13</v>
      </c>
      <c r="B27" s="187"/>
      <c r="C27" s="188"/>
      <c r="D27" s="189"/>
      <c r="E27" s="12"/>
      <c r="F27" s="12"/>
      <c r="G27" s="12"/>
      <c r="H27" s="12"/>
      <c r="I27" s="111"/>
      <c r="J27" s="12"/>
      <c r="K27" s="13"/>
      <c r="L27" s="33">
        <f>IFERROR(INDEX('Appendix A'!$C$5:$C$42,MATCH('Section 4. Goods and Services'!J27,'Appendix A'!$B$5:$B$42,0)),0)</f>
        <v>0</v>
      </c>
      <c r="M27" s="33">
        <f t="shared" si="0"/>
        <v>0</v>
      </c>
      <c r="N27" s="15">
        <v>0</v>
      </c>
      <c r="O27" s="36">
        <f t="shared" si="1"/>
        <v>0</v>
      </c>
      <c r="P27" s="57" t="str">
        <f>IF(O27&gt;1%*'Section 2. Evaluation'!$C$18,"To be confirmed","")</f>
        <v/>
      </c>
      <c r="Q27" s="183"/>
      <c r="R27" s="183"/>
      <c r="S27" s="183"/>
      <c r="T27" s="183"/>
      <c r="U27" s="183"/>
      <c r="V27" s="183"/>
      <c r="W27" s="183"/>
      <c r="X27" s="183"/>
      <c r="Y27" s="183"/>
      <c r="Z27" s="183"/>
      <c r="AA27" s="183"/>
      <c r="AB27" s="183"/>
      <c r="AC27" s="183"/>
    </row>
    <row r="28" spans="1:29">
      <c r="A28" s="8">
        <f t="shared" si="2"/>
        <v>14</v>
      </c>
      <c r="B28" s="187"/>
      <c r="C28" s="188"/>
      <c r="D28" s="189"/>
      <c r="E28" s="12"/>
      <c r="F28" s="12"/>
      <c r="G28" s="12"/>
      <c r="H28" s="12"/>
      <c r="I28" s="111"/>
      <c r="J28" s="12"/>
      <c r="K28" s="13"/>
      <c r="L28" s="33">
        <f>IFERROR(INDEX('Appendix A'!$C$5:$C$42,MATCH('Section 4. Goods and Services'!J28,'Appendix A'!$B$5:$B$42,0)),0)</f>
        <v>0</v>
      </c>
      <c r="M28" s="33">
        <f t="shared" si="0"/>
        <v>0</v>
      </c>
      <c r="N28" s="15">
        <v>0</v>
      </c>
      <c r="O28" s="36">
        <f t="shared" si="1"/>
        <v>0</v>
      </c>
      <c r="P28" s="57" t="str">
        <f>IF(O28&gt;1%*'Section 2. Evaluation'!$C$18,"To be confirmed","")</f>
        <v/>
      </c>
      <c r="Q28" s="183"/>
      <c r="R28" s="183"/>
      <c r="S28" s="183"/>
      <c r="T28" s="183"/>
      <c r="U28" s="183"/>
      <c r="V28" s="183"/>
      <c r="W28" s="183"/>
      <c r="X28" s="183"/>
      <c r="Y28" s="183"/>
      <c r="Z28" s="183"/>
      <c r="AA28" s="183"/>
      <c r="AB28" s="183"/>
      <c r="AC28" s="183"/>
    </row>
    <row r="29" spans="1:29">
      <c r="A29" s="8">
        <f>A28+1</f>
        <v>15</v>
      </c>
      <c r="B29" s="187"/>
      <c r="C29" s="188"/>
      <c r="D29" s="189"/>
      <c r="E29" s="12"/>
      <c r="F29" s="12"/>
      <c r="G29" s="12"/>
      <c r="H29" s="12"/>
      <c r="I29" s="111"/>
      <c r="J29" s="12"/>
      <c r="K29" s="13"/>
      <c r="L29" s="33">
        <f>IFERROR(INDEX('Appendix A'!$C$5:$C$42,MATCH('Section 4. Goods and Services'!J29,'Appendix A'!$B$5:$B$42,0)),0)</f>
        <v>0</v>
      </c>
      <c r="M29" s="33">
        <f t="shared" si="0"/>
        <v>0</v>
      </c>
      <c r="N29" s="15">
        <v>0</v>
      </c>
      <c r="O29" s="36">
        <f t="shared" si="1"/>
        <v>0</v>
      </c>
      <c r="P29" s="57" t="str">
        <f>IF(O29&gt;1%*'Section 2. Evaluation'!$C$18,"To be confirmed","")</f>
        <v/>
      </c>
      <c r="Q29" s="183"/>
      <c r="R29" s="183"/>
      <c r="S29" s="183"/>
      <c r="T29" s="183"/>
      <c r="U29" s="183"/>
      <c r="V29" s="183"/>
      <c r="W29" s="183"/>
      <c r="X29" s="183"/>
      <c r="Y29" s="183"/>
      <c r="Z29" s="183"/>
      <c r="AA29" s="183"/>
      <c r="AB29" s="183"/>
      <c r="AC29" s="183"/>
    </row>
    <row r="30" spans="1:29">
      <c r="A30" s="8">
        <f t="shared" si="2"/>
        <v>16</v>
      </c>
      <c r="B30" s="187"/>
      <c r="C30" s="188"/>
      <c r="D30" s="189"/>
      <c r="E30" s="12"/>
      <c r="F30" s="12"/>
      <c r="G30" s="12"/>
      <c r="H30" s="12"/>
      <c r="I30" s="111"/>
      <c r="J30" s="12"/>
      <c r="K30" s="13"/>
      <c r="L30" s="33">
        <f>IFERROR(INDEX('Appendix A'!$C$5:$C$42,MATCH('Section 4. Goods and Services'!J30,'Appendix A'!$B$5:$B$42,0)),0)</f>
        <v>0</v>
      </c>
      <c r="M30" s="33">
        <f t="shared" si="0"/>
        <v>0</v>
      </c>
      <c r="N30" s="15">
        <v>0</v>
      </c>
      <c r="O30" s="36">
        <f t="shared" si="1"/>
        <v>0</v>
      </c>
      <c r="P30" s="57" t="str">
        <f>IF(O30&gt;1%*'Section 2. Evaluation'!$C$18,"To be confirmed","")</f>
        <v/>
      </c>
      <c r="Q30" s="183"/>
      <c r="R30" s="183"/>
      <c r="S30" s="183"/>
      <c r="T30" s="183"/>
      <c r="U30" s="183"/>
      <c r="V30" s="183"/>
      <c r="W30" s="183"/>
      <c r="X30" s="183"/>
      <c r="Y30" s="183"/>
      <c r="Z30" s="183"/>
      <c r="AA30" s="183"/>
      <c r="AB30" s="183"/>
      <c r="AC30" s="183"/>
    </row>
    <row r="31" spans="1:29">
      <c r="A31" s="8">
        <f t="shared" si="2"/>
        <v>17</v>
      </c>
      <c r="B31" s="187"/>
      <c r="C31" s="188"/>
      <c r="D31" s="189"/>
      <c r="E31" s="12"/>
      <c r="F31" s="12"/>
      <c r="G31" s="12"/>
      <c r="H31" s="12"/>
      <c r="I31" s="111"/>
      <c r="J31" s="12"/>
      <c r="K31" s="13"/>
      <c r="L31" s="33">
        <f>IFERROR(INDEX('Appendix A'!$C$5:$C$42,MATCH('Section 4. Goods and Services'!J31,'Appendix A'!$B$5:$B$42,0)),0)</f>
        <v>0</v>
      </c>
      <c r="M31" s="33">
        <f t="shared" si="0"/>
        <v>0</v>
      </c>
      <c r="N31" s="15">
        <v>0</v>
      </c>
      <c r="O31" s="36">
        <f t="shared" si="1"/>
        <v>0</v>
      </c>
      <c r="P31" s="57" t="str">
        <f>IF(O31&gt;1%*'Section 2. Evaluation'!$C$18,"To be confirmed","")</f>
        <v/>
      </c>
      <c r="Q31" s="183"/>
      <c r="R31" s="183"/>
      <c r="S31" s="183"/>
      <c r="T31" s="183"/>
      <c r="U31" s="183"/>
      <c r="V31" s="183"/>
      <c r="W31" s="183"/>
      <c r="X31" s="183"/>
      <c r="Y31" s="183"/>
      <c r="Z31" s="183"/>
      <c r="AA31" s="183"/>
      <c r="AB31" s="183"/>
      <c r="AC31" s="183"/>
    </row>
    <row r="32" spans="1:29">
      <c r="A32" s="8">
        <f t="shared" si="2"/>
        <v>18</v>
      </c>
      <c r="B32" s="187"/>
      <c r="C32" s="188"/>
      <c r="D32" s="189"/>
      <c r="E32" s="12"/>
      <c r="F32" s="12"/>
      <c r="G32" s="12"/>
      <c r="H32" s="12"/>
      <c r="I32" s="111"/>
      <c r="J32" s="12"/>
      <c r="K32" s="13"/>
      <c r="L32" s="33">
        <f>IFERROR(INDEX('Appendix A'!$C$5:$C$42,MATCH('Section 4. Goods and Services'!J32,'Appendix A'!$B$5:$B$42,0)),0)</f>
        <v>0</v>
      </c>
      <c r="M32" s="33">
        <f t="shared" si="0"/>
        <v>0</v>
      </c>
      <c r="N32" s="15">
        <v>0</v>
      </c>
      <c r="O32" s="36">
        <f t="shared" si="1"/>
        <v>0</v>
      </c>
      <c r="P32" s="57" t="str">
        <f>IF(O32&gt;1%*'Section 2. Evaluation'!$C$18,"To be confirmed","")</f>
        <v/>
      </c>
      <c r="Q32" s="183"/>
      <c r="R32" s="183"/>
      <c r="S32" s="183"/>
      <c r="T32" s="183"/>
      <c r="U32" s="183"/>
      <c r="V32" s="183"/>
      <c r="W32" s="183"/>
      <c r="X32" s="183"/>
      <c r="Y32" s="183"/>
      <c r="Z32" s="183"/>
      <c r="AA32" s="183"/>
      <c r="AB32" s="183"/>
      <c r="AC32" s="183"/>
    </row>
    <row r="33" spans="1:29">
      <c r="A33" s="8">
        <f t="shared" si="2"/>
        <v>19</v>
      </c>
      <c r="B33" s="187"/>
      <c r="C33" s="188"/>
      <c r="D33" s="189"/>
      <c r="E33" s="12"/>
      <c r="F33" s="12"/>
      <c r="G33" s="12"/>
      <c r="H33" s="12"/>
      <c r="I33" s="111"/>
      <c r="J33" s="12"/>
      <c r="K33" s="13"/>
      <c r="L33" s="33">
        <f>IFERROR(INDEX('Appendix A'!$C$5:$C$42,MATCH('Section 4. Goods and Services'!J33,'Appendix A'!$B$5:$B$42,0)),0)</f>
        <v>0</v>
      </c>
      <c r="M33" s="33">
        <f t="shared" si="0"/>
        <v>0</v>
      </c>
      <c r="N33" s="15">
        <v>0</v>
      </c>
      <c r="O33" s="36">
        <f t="shared" si="1"/>
        <v>0</v>
      </c>
      <c r="P33" s="57" t="str">
        <f>IF(O33&gt;1%*'Section 2. Evaluation'!$C$18,"To be confirmed","")</f>
        <v/>
      </c>
      <c r="Q33" s="183"/>
      <c r="R33" s="183"/>
      <c r="S33" s="183"/>
      <c r="T33" s="183"/>
      <c r="U33" s="183"/>
      <c r="V33" s="183"/>
      <c r="W33" s="183"/>
      <c r="X33" s="183"/>
      <c r="Y33" s="183"/>
      <c r="Z33" s="183"/>
      <c r="AA33" s="183"/>
      <c r="AB33" s="183"/>
      <c r="AC33" s="183"/>
    </row>
    <row r="34" spans="1:29">
      <c r="A34" s="8">
        <f t="shared" si="2"/>
        <v>20</v>
      </c>
      <c r="B34" s="187"/>
      <c r="C34" s="188"/>
      <c r="D34" s="189"/>
      <c r="E34" s="12"/>
      <c r="F34" s="12"/>
      <c r="G34" s="12"/>
      <c r="H34" s="12"/>
      <c r="I34" s="111"/>
      <c r="J34" s="12"/>
      <c r="K34" s="13"/>
      <c r="L34" s="33">
        <f>IFERROR(INDEX('Appendix A'!$C$5:$C$42,MATCH('Section 4. Goods and Services'!J34,'Appendix A'!$B$5:$B$42,0)),0)</f>
        <v>0</v>
      </c>
      <c r="M34" s="33">
        <f t="shared" si="0"/>
        <v>0</v>
      </c>
      <c r="N34" s="15">
        <v>0</v>
      </c>
      <c r="O34" s="36">
        <f t="shared" si="1"/>
        <v>0</v>
      </c>
      <c r="P34" s="57" t="str">
        <f>IF(O34&gt;1%*'Section 2. Evaluation'!$C$18,"To be confirmed","")</f>
        <v/>
      </c>
      <c r="Q34" s="183"/>
      <c r="R34" s="183"/>
      <c r="S34" s="183"/>
      <c r="T34" s="183"/>
      <c r="U34" s="183"/>
      <c r="V34" s="183"/>
      <c r="W34" s="183"/>
      <c r="X34" s="183"/>
      <c r="Y34" s="183"/>
      <c r="Z34" s="183"/>
      <c r="AA34" s="183"/>
      <c r="AB34" s="183"/>
      <c r="AC34" s="183"/>
    </row>
    <row r="35" spans="1:29">
      <c r="A35" s="8">
        <f t="shared" si="2"/>
        <v>21</v>
      </c>
      <c r="B35" s="187"/>
      <c r="C35" s="188"/>
      <c r="D35" s="189"/>
      <c r="E35" s="12"/>
      <c r="F35" s="12"/>
      <c r="G35" s="12"/>
      <c r="H35" s="12"/>
      <c r="I35" s="111"/>
      <c r="J35" s="12"/>
      <c r="K35" s="13"/>
      <c r="L35" s="33">
        <f>IFERROR(INDEX('Appendix A'!$C$5:$C$42,MATCH('Section 4. Goods and Services'!J35,'Appendix A'!$B$5:$B$42,0)),0)</f>
        <v>0</v>
      </c>
      <c r="M35" s="33">
        <f t="shared" si="0"/>
        <v>0</v>
      </c>
      <c r="N35" s="15">
        <v>0</v>
      </c>
      <c r="O35" s="36">
        <f t="shared" si="1"/>
        <v>0</v>
      </c>
      <c r="P35" s="57" t="str">
        <f>IF(O35&gt;1%*'Section 2. Evaluation'!$C$18,"To be confirmed","")</f>
        <v/>
      </c>
      <c r="Q35" s="183"/>
      <c r="R35" s="183"/>
      <c r="S35" s="183"/>
      <c r="T35" s="183"/>
      <c r="U35" s="183"/>
      <c r="V35" s="183"/>
      <c r="W35" s="183"/>
      <c r="X35" s="183"/>
      <c r="Y35" s="183"/>
      <c r="Z35" s="183"/>
      <c r="AA35" s="183"/>
      <c r="AB35" s="183"/>
      <c r="AC35" s="183"/>
    </row>
    <row r="36" spans="1:29">
      <c r="A36" s="8">
        <f t="shared" si="2"/>
        <v>22</v>
      </c>
      <c r="B36" s="187"/>
      <c r="C36" s="188"/>
      <c r="D36" s="189"/>
      <c r="E36" s="12"/>
      <c r="F36" s="12"/>
      <c r="G36" s="12"/>
      <c r="H36" s="12"/>
      <c r="I36" s="111"/>
      <c r="J36" s="12"/>
      <c r="K36" s="13"/>
      <c r="L36" s="33">
        <f>IFERROR(INDEX('Appendix A'!$C$5:$C$42,MATCH('Section 4. Goods and Services'!J36,'Appendix A'!$B$5:$B$42,0)),0)</f>
        <v>0</v>
      </c>
      <c r="M36" s="33">
        <f t="shared" si="0"/>
        <v>0</v>
      </c>
      <c r="N36" s="15">
        <v>0</v>
      </c>
      <c r="O36" s="36">
        <f t="shared" si="1"/>
        <v>0</v>
      </c>
      <c r="P36" s="57" t="str">
        <f>IF(O36&gt;1%*'Section 2. Evaluation'!$C$18,"To be confirmed","")</f>
        <v/>
      </c>
      <c r="Q36" s="183"/>
      <c r="R36" s="183"/>
      <c r="S36" s="183"/>
      <c r="T36" s="183"/>
      <c r="U36" s="183"/>
      <c r="V36" s="183"/>
      <c r="W36" s="183"/>
      <c r="X36" s="183"/>
      <c r="Y36" s="183"/>
      <c r="Z36" s="183"/>
      <c r="AA36" s="183"/>
      <c r="AB36" s="183"/>
      <c r="AC36" s="183"/>
    </row>
    <row r="37" spans="1:29">
      <c r="A37" s="8">
        <f t="shared" si="2"/>
        <v>23</v>
      </c>
      <c r="B37" s="187"/>
      <c r="C37" s="188"/>
      <c r="D37" s="189"/>
      <c r="E37" s="12"/>
      <c r="F37" s="12"/>
      <c r="G37" s="12"/>
      <c r="H37" s="12"/>
      <c r="I37" s="111"/>
      <c r="J37" s="12"/>
      <c r="K37" s="13"/>
      <c r="L37" s="33">
        <f>IFERROR(INDEX('Appendix A'!$C$5:$C$42,MATCH('Section 4. Goods and Services'!J37,'Appendix A'!$B$5:$B$42,0)),0)</f>
        <v>0</v>
      </c>
      <c r="M37" s="33">
        <f t="shared" si="0"/>
        <v>0</v>
      </c>
      <c r="N37" s="15">
        <v>0</v>
      </c>
      <c r="O37" s="36">
        <f t="shared" si="1"/>
        <v>0</v>
      </c>
      <c r="P37" s="57" t="str">
        <f>IF(O37&gt;1%*'Section 2. Evaluation'!$C$18,"To be confirmed","")</f>
        <v/>
      </c>
      <c r="Q37" s="183"/>
      <c r="R37" s="183"/>
      <c r="S37" s="183"/>
      <c r="T37" s="183"/>
      <c r="U37" s="183"/>
      <c r="V37" s="183"/>
      <c r="W37" s="183"/>
      <c r="X37" s="183"/>
      <c r="Y37" s="183"/>
      <c r="Z37" s="183"/>
      <c r="AA37" s="183"/>
      <c r="AB37" s="183"/>
      <c r="AC37" s="183"/>
    </row>
    <row r="38" spans="1:29">
      <c r="A38" s="8">
        <f t="shared" si="2"/>
        <v>24</v>
      </c>
      <c r="B38" s="187"/>
      <c r="C38" s="188"/>
      <c r="D38" s="189"/>
      <c r="E38" s="12"/>
      <c r="F38" s="12"/>
      <c r="G38" s="12"/>
      <c r="H38" s="12"/>
      <c r="I38" s="111"/>
      <c r="J38" s="12"/>
      <c r="K38" s="13"/>
      <c r="L38" s="33">
        <f>IFERROR(INDEX('Appendix A'!$C$5:$C$42,MATCH('Section 4. Goods and Services'!J38,'Appendix A'!$B$5:$B$42,0)),0)</f>
        <v>0</v>
      </c>
      <c r="M38" s="33">
        <f t="shared" si="0"/>
        <v>0</v>
      </c>
      <c r="N38" s="15">
        <v>0</v>
      </c>
      <c r="O38" s="36">
        <f t="shared" si="1"/>
        <v>0</v>
      </c>
      <c r="P38" s="57" t="str">
        <f>IF(O38&gt;1%*'Section 2. Evaluation'!$C$18,"To be confirmed","")</f>
        <v/>
      </c>
      <c r="Q38" s="183"/>
      <c r="R38" s="183"/>
      <c r="S38" s="183"/>
      <c r="T38" s="183"/>
      <c r="U38" s="183"/>
      <c r="V38" s="183"/>
      <c r="W38" s="183"/>
      <c r="X38" s="183"/>
      <c r="Y38" s="183"/>
      <c r="Z38" s="183"/>
      <c r="AA38" s="183"/>
      <c r="AB38" s="183"/>
      <c r="AC38" s="183"/>
    </row>
    <row r="39" spans="1:29">
      <c r="A39" s="8">
        <f t="shared" si="2"/>
        <v>25</v>
      </c>
      <c r="B39" s="187"/>
      <c r="C39" s="188"/>
      <c r="D39" s="189"/>
      <c r="E39" s="12"/>
      <c r="F39" s="12"/>
      <c r="G39" s="12"/>
      <c r="H39" s="12"/>
      <c r="I39" s="111"/>
      <c r="J39" s="12"/>
      <c r="K39" s="13"/>
      <c r="L39" s="33">
        <f>IFERROR(INDEX('Appendix A'!$C$5:$C$42,MATCH('Section 4. Goods and Services'!J39,'Appendix A'!$B$5:$B$42,0)),0)</f>
        <v>0</v>
      </c>
      <c r="M39" s="33">
        <f t="shared" si="0"/>
        <v>0</v>
      </c>
      <c r="N39" s="15">
        <v>0</v>
      </c>
      <c r="O39" s="36">
        <f t="shared" si="1"/>
        <v>0</v>
      </c>
      <c r="P39" s="57" t="str">
        <f>IF(O39&gt;1%*'Section 2. Evaluation'!$C$18,"To be confirmed","")</f>
        <v/>
      </c>
      <c r="Q39" s="183"/>
      <c r="R39" s="183"/>
      <c r="S39" s="183"/>
      <c r="T39" s="183"/>
      <c r="U39" s="183"/>
      <c r="V39" s="183"/>
      <c r="W39" s="183"/>
      <c r="X39" s="183"/>
      <c r="Y39" s="183"/>
      <c r="Z39" s="183"/>
      <c r="AA39" s="183"/>
      <c r="AB39" s="183"/>
      <c r="AC39" s="183"/>
    </row>
    <row r="40" spans="1:29">
      <c r="A40" s="8">
        <f t="shared" si="2"/>
        <v>26</v>
      </c>
      <c r="B40" s="187"/>
      <c r="C40" s="188"/>
      <c r="D40" s="189"/>
      <c r="E40" s="12"/>
      <c r="F40" s="12"/>
      <c r="G40" s="12"/>
      <c r="H40" s="12"/>
      <c r="I40" s="111"/>
      <c r="J40" s="12"/>
      <c r="K40" s="13"/>
      <c r="L40" s="33">
        <f>IFERROR(INDEX('Appendix A'!$C$5:$C$42,MATCH('Section 4. Goods and Services'!J40,'Appendix A'!$B$5:$B$42,0)),0)</f>
        <v>0</v>
      </c>
      <c r="M40" s="33">
        <f t="shared" si="0"/>
        <v>0</v>
      </c>
      <c r="N40" s="15">
        <v>0</v>
      </c>
      <c r="O40" s="36">
        <f t="shared" si="1"/>
        <v>0</v>
      </c>
      <c r="P40" s="57" t="str">
        <f>IF(O40&gt;1%*'Section 2. Evaluation'!$C$18,"To be confirmed","")</f>
        <v/>
      </c>
      <c r="Q40" s="183"/>
      <c r="R40" s="183"/>
      <c r="S40" s="183"/>
      <c r="T40" s="183"/>
      <c r="U40" s="183"/>
      <c r="V40" s="183"/>
      <c r="W40" s="183"/>
      <c r="X40" s="183"/>
      <c r="Y40" s="183"/>
      <c r="Z40" s="183"/>
      <c r="AA40" s="183"/>
      <c r="AB40" s="183"/>
      <c r="AC40" s="183"/>
    </row>
    <row r="41" spans="1:29">
      <c r="A41" s="8">
        <f t="shared" si="2"/>
        <v>27</v>
      </c>
      <c r="B41" s="187"/>
      <c r="C41" s="188"/>
      <c r="D41" s="189"/>
      <c r="E41" s="12"/>
      <c r="F41" s="12"/>
      <c r="G41" s="12"/>
      <c r="H41" s="12"/>
      <c r="I41" s="111"/>
      <c r="J41" s="12"/>
      <c r="K41" s="13"/>
      <c r="L41" s="33">
        <f>IFERROR(INDEX('Appendix A'!$C$5:$C$42,MATCH('Section 4. Goods and Services'!J41,'Appendix A'!$B$5:$B$42,0)),0)</f>
        <v>0</v>
      </c>
      <c r="M41" s="33">
        <f t="shared" si="0"/>
        <v>0</v>
      </c>
      <c r="N41" s="15">
        <v>0</v>
      </c>
      <c r="O41" s="36">
        <f t="shared" si="1"/>
        <v>0</v>
      </c>
      <c r="P41" s="57" t="str">
        <f>IF(O41&gt;1%*'Section 2. Evaluation'!$C$18,"To be confirmed","")</f>
        <v/>
      </c>
      <c r="Q41" s="183"/>
      <c r="R41" s="183"/>
      <c r="S41" s="183"/>
      <c r="T41" s="183"/>
      <c r="U41" s="183"/>
      <c r="V41" s="183"/>
      <c r="W41" s="183"/>
      <c r="X41" s="183"/>
      <c r="Y41" s="183"/>
      <c r="Z41" s="183"/>
      <c r="AA41" s="183"/>
      <c r="AB41" s="183"/>
      <c r="AC41" s="183"/>
    </row>
    <row r="42" spans="1:29">
      <c r="A42" s="8">
        <f t="shared" si="2"/>
        <v>28</v>
      </c>
      <c r="B42" s="187"/>
      <c r="C42" s="188"/>
      <c r="D42" s="189"/>
      <c r="E42" s="12"/>
      <c r="F42" s="12"/>
      <c r="G42" s="12"/>
      <c r="H42" s="12"/>
      <c r="I42" s="111"/>
      <c r="J42" s="12"/>
      <c r="K42" s="13"/>
      <c r="L42" s="33">
        <f>IFERROR(INDEX('Appendix A'!$C$5:$C$42,MATCH('Section 4. Goods and Services'!J42,'Appendix A'!$B$5:$B$42,0)),0)</f>
        <v>0</v>
      </c>
      <c r="M42" s="33">
        <f t="shared" si="0"/>
        <v>0</v>
      </c>
      <c r="N42" s="15">
        <v>0</v>
      </c>
      <c r="O42" s="36">
        <f t="shared" si="1"/>
        <v>0</v>
      </c>
      <c r="P42" s="57" t="str">
        <f>IF(O42&gt;1%*'Section 2. Evaluation'!$C$18,"To be confirmed","")</f>
        <v/>
      </c>
      <c r="Q42" s="183"/>
      <c r="R42" s="183"/>
      <c r="S42" s="183"/>
      <c r="T42" s="183"/>
      <c r="U42" s="183"/>
      <c r="V42" s="183"/>
      <c r="W42" s="183"/>
      <c r="X42" s="183"/>
      <c r="Y42" s="183"/>
      <c r="Z42" s="183"/>
      <c r="AA42" s="183"/>
      <c r="AB42" s="183"/>
      <c r="AC42" s="183"/>
    </row>
    <row r="43" spans="1:29">
      <c r="A43" s="8">
        <f t="shared" si="2"/>
        <v>29</v>
      </c>
      <c r="B43" s="187"/>
      <c r="C43" s="188"/>
      <c r="D43" s="189"/>
      <c r="E43" s="12"/>
      <c r="F43" s="12"/>
      <c r="G43" s="12"/>
      <c r="H43" s="12"/>
      <c r="I43" s="111"/>
      <c r="J43" s="12"/>
      <c r="K43" s="13"/>
      <c r="L43" s="33">
        <f>IFERROR(INDEX('Appendix A'!$C$5:$C$42,MATCH('Section 4. Goods and Services'!J43,'Appendix A'!$B$5:$B$42,0)),0)</f>
        <v>0</v>
      </c>
      <c r="M43" s="33">
        <f t="shared" si="0"/>
        <v>0</v>
      </c>
      <c r="N43" s="15">
        <v>0</v>
      </c>
      <c r="O43" s="36">
        <f t="shared" si="1"/>
        <v>0</v>
      </c>
      <c r="P43" s="57" t="str">
        <f>IF(O43&gt;1%*'Section 2. Evaluation'!$C$18,"To be confirmed","")</f>
        <v/>
      </c>
      <c r="Q43" s="183"/>
      <c r="R43" s="183"/>
      <c r="S43" s="183"/>
      <c r="T43" s="183"/>
      <c r="U43" s="183"/>
      <c r="V43" s="183"/>
      <c r="W43" s="183"/>
      <c r="X43" s="183"/>
      <c r="Y43" s="183"/>
      <c r="Z43" s="183"/>
      <c r="AA43" s="183"/>
      <c r="AB43" s="183"/>
      <c r="AC43" s="183"/>
    </row>
    <row r="44" spans="1:29">
      <c r="A44" s="8">
        <f t="shared" si="2"/>
        <v>30</v>
      </c>
      <c r="B44" s="187"/>
      <c r="C44" s="188"/>
      <c r="D44" s="189"/>
      <c r="E44" s="12"/>
      <c r="F44" s="12"/>
      <c r="G44" s="12"/>
      <c r="H44" s="12"/>
      <c r="I44" s="111"/>
      <c r="J44" s="12"/>
      <c r="K44" s="13"/>
      <c r="L44" s="33">
        <f>IFERROR(INDEX('Appendix A'!$C$5:$C$42,MATCH('Section 4. Goods and Services'!J44,'Appendix A'!$B$5:$B$42,0)),0)</f>
        <v>0</v>
      </c>
      <c r="M44" s="33">
        <f t="shared" si="0"/>
        <v>0</v>
      </c>
      <c r="N44" s="15">
        <v>0</v>
      </c>
      <c r="O44" s="36">
        <f t="shared" si="1"/>
        <v>0</v>
      </c>
      <c r="P44" s="57" t="str">
        <f>IF(O44&gt;1%*'Section 2. Evaluation'!$C$18,"To be confirmed","")</f>
        <v/>
      </c>
      <c r="Q44" s="183"/>
      <c r="R44" s="183"/>
      <c r="S44" s="183"/>
      <c r="T44" s="183"/>
      <c r="U44" s="183"/>
      <c r="V44" s="183"/>
      <c r="W44" s="183"/>
      <c r="X44" s="183"/>
      <c r="Y44" s="183"/>
      <c r="Z44" s="183"/>
      <c r="AA44" s="183"/>
      <c r="AB44" s="183"/>
      <c r="AC44" s="183"/>
    </row>
    <row r="45" spans="1:29">
      <c r="A45" s="8">
        <f t="shared" si="2"/>
        <v>31</v>
      </c>
      <c r="B45" s="187"/>
      <c r="C45" s="188"/>
      <c r="D45" s="189"/>
      <c r="E45" s="12"/>
      <c r="F45" s="12"/>
      <c r="G45" s="12"/>
      <c r="H45" s="12"/>
      <c r="I45" s="111"/>
      <c r="J45" s="12"/>
      <c r="K45" s="13"/>
      <c r="L45" s="33">
        <f>IFERROR(INDEX('Appendix A'!$C$5:$C$42,MATCH('Section 4. Goods and Services'!J45,'Appendix A'!$B$5:$B$42,0)),0)</f>
        <v>0</v>
      </c>
      <c r="M45" s="33">
        <f t="shared" si="0"/>
        <v>0</v>
      </c>
      <c r="N45" s="15">
        <v>0</v>
      </c>
      <c r="O45" s="36">
        <f t="shared" si="1"/>
        <v>0</v>
      </c>
      <c r="P45" s="57" t="str">
        <f>IF(O45&gt;1%*'Section 2. Evaluation'!$C$18,"To be confirmed","")</f>
        <v/>
      </c>
      <c r="Q45" s="183"/>
      <c r="R45" s="183"/>
      <c r="S45" s="183"/>
      <c r="T45" s="183"/>
      <c r="U45" s="183"/>
      <c r="V45" s="183"/>
      <c r="W45" s="183"/>
      <c r="X45" s="183"/>
      <c r="Y45" s="183"/>
      <c r="Z45" s="183"/>
      <c r="AA45" s="183"/>
      <c r="AB45" s="183"/>
      <c r="AC45" s="183"/>
    </row>
    <row r="46" spans="1:29">
      <c r="A46" s="8">
        <f t="shared" si="2"/>
        <v>32</v>
      </c>
      <c r="B46" s="187"/>
      <c r="C46" s="188"/>
      <c r="D46" s="189"/>
      <c r="E46" s="12"/>
      <c r="F46" s="12"/>
      <c r="G46" s="12"/>
      <c r="H46" s="12"/>
      <c r="I46" s="111"/>
      <c r="J46" s="12"/>
      <c r="K46" s="13"/>
      <c r="L46" s="33">
        <f>IFERROR(INDEX('Appendix A'!$C$5:$C$42,MATCH('Section 4. Goods and Services'!J46,'Appendix A'!$B$5:$B$42,0)),0)</f>
        <v>0</v>
      </c>
      <c r="M46" s="33">
        <f t="shared" si="0"/>
        <v>0</v>
      </c>
      <c r="N46" s="15">
        <v>0</v>
      </c>
      <c r="O46" s="36">
        <f t="shared" si="1"/>
        <v>0</v>
      </c>
      <c r="P46" s="57" t="str">
        <f>IF(O46&gt;1%*'Section 2. Evaluation'!$C$18,"To be confirmed","")</f>
        <v/>
      </c>
      <c r="Q46" s="183"/>
      <c r="R46" s="183"/>
      <c r="S46" s="183"/>
      <c r="T46" s="183"/>
      <c r="U46" s="183"/>
      <c r="V46" s="183"/>
      <c r="W46" s="183"/>
      <c r="X46" s="183"/>
      <c r="Y46" s="183"/>
      <c r="Z46" s="183"/>
      <c r="AA46" s="183"/>
      <c r="AB46" s="183"/>
      <c r="AC46" s="183"/>
    </row>
    <row r="47" spans="1:29">
      <c r="A47" s="8">
        <f t="shared" si="2"/>
        <v>33</v>
      </c>
      <c r="B47" s="187"/>
      <c r="C47" s="188"/>
      <c r="D47" s="189"/>
      <c r="E47" s="12"/>
      <c r="F47" s="12"/>
      <c r="G47" s="12"/>
      <c r="H47" s="12"/>
      <c r="I47" s="111"/>
      <c r="J47" s="12"/>
      <c r="K47" s="13"/>
      <c r="L47" s="33">
        <f>IFERROR(INDEX('Appendix A'!$C$5:$C$42,MATCH('Section 4. Goods and Services'!J47,'Appendix A'!$B$5:$B$42,0)),0)</f>
        <v>0</v>
      </c>
      <c r="M47" s="33">
        <f t="shared" si="0"/>
        <v>0</v>
      </c>
      <c r="N47" s="15">
        <v>0</v>
      </c>
      <c r="O47" s="36">
        <f t="shared" si="1"/>
        <v>0</v>
      </c>
      <c r="P47" s="57" t="str">
        <f>IF(O47&gt;1%*'Section 2. Evaluation'!$C$18,"To be confirmed","")</f>
        <v/>
      </c>
      <c r="Q47" s="183"/>
      <c r="R47" s="183"/>
      <c r="S47" s="183"/>
      <c r="T47" s="183"/>
      <c r="U47" s="183"/>
      <c r="V47" s="183"/>
      <c r="W47" s="183"/>
      <c r="X47" s="183"/>
      <c r="Y47" s="183"/>
      <c r="Z47" s="183"/>
      <c r="AA47" s="183"/>
      <c r="AB47" s="183"/>
      <c r="AC47" s="183"/>
    </row>
    <row r="48" spans="1:29">
      <c r="A48" s="8">
        <f t="shared" si="2"/>
        <v>34</v>
      </c>
      <c r="B48" s="187"/>
      <c r="C48" s="188"/>
      <c r="D48" s="189"/>
      <c r="E48" s="12"/>
      <c r="F48" s="12"/>
      <c r="G48" s="12"/>
      <c r="H48" s="12"/>
      <c r="I48" s="111"/>
      <c r="J48" s="12"/>
      <c r="K48" s="13"/>
      <c r="L48" s="33">
        <f>IFERROR(INDEX('Appendix A'!$C$5:$C$42,MATCH('Section 4. Goods and Services'!J48,'Appendix A'!$B$5:$B$42,0)),0)</f>
        <v>0</v>
      </c>
      <c r="M48" s="33">
        <f t="shared" si="0"/>
        <v>0</v>
      </c>
      <c r="N48" s="15">
        <v>0</v>
      </c>
      <c r="O48" s="36">
        <f t="shared" si="1"/>
        <v>0</v>
      </c>
      <c r="P48" s="57" t="str">
        <f>IF(O48&gt;1%*'Section 2. Evaluation'!$C$18,"To be confirmed","")</f>
        <v/>
      </c>
      <c r="Q48" s="183"/>
      <c r="R48" s="183"/>
      <c r="S48" s="183"/>
      <c r="T48" s="183"/>
      <c r="U48" s="183"/>
      <c r="V48" s="183"/>
      <c r="W48" s="183"/>
      <c r="X48" s="183"/>
      <c r="Y48" s="183"/>
      <c r="Z48" s="183"/>
      <c r="AA48" s="183"/>
      <c r="AB48" s="183"/>
      <c r="AC48" s="183"/>
    </row>
    <row r="49" spans="1:29">
      <c r="A49" s="8">
        <f t="shared" si="2"/>
        <v>35</v>
      </c>
      <c r="B49" s="187"/>
      <c r="C49" s="188"/>
      <c r="D49" s="189"/>
      <c r="E49" s="12"/>
      <c r="F49" s="12"/>
      <c r="G49" s="12"/>
      <c r="H49" s="12"/>
      <c r="I49" s="111"/>
      <c r="J49" s="12"/>
      <c r="K49" s="13"/>
      <c r="L49" s="33">
        <f>IFERROR(INDEX('Appendix A'!$C$5:$C$42,MATCH('Section 4. Goods and Services'!J49,'Appendix A'!$B$5:$B$42,0)),0)</f>
        <v>0</v>
      </c>
      <c r="M49" s="33">
        <f t="shared" si="0"/>
        <v>0</v>
      </c>
      <c r="N49" s="15">
        <v>0</v>
      </c>
      <c r="O49" s="36">
        <f t="shared" si="1"/>
        <v>0</v>
      </c>
      <c r="P49" s="57" t="str">
        <f>IF(O49&gt;1%*'Section 2. Evaluation'!$C$18,"To be confirmed","")</f>
        <v/>
      </c>
      <c r="Q49" s="183"/>
      <c r="R49" s="183"/>
      <c r="S49" s="183"/>
      <c r="T49" s="183"/>
      <c r="U49" s="183"/>
      <c r="V49" s="183"/>
      <c r="W49" s="183"/>
      <c r="X49" s="183"/>
      <c r="Y49" s="183"/>
      <c r="Z49" s="183"/>
      <c r="AA49" s="183"/>
      <c r="AB49" s="183"/>
      <c r="AC49" s="183"/>
    </row>
    <row r="50" spans="1:29">
      <c r="A50" s="8">
        <f t="shared" si="2"/>
        <v>36</v>
      </c>
      <c r="B50" s="187"/>
      <c r="C50" s="188"/>
      <c r="D50" s="189"/>
      <c r="E50" s="12"/>
      <c r="F50" s="12"/>
      <c r="G50" s="12"/>
      <c r="H50" s="12"/>
      <c r="I50" s="111"/>
      <c r="J50" s="12"/>
      <c r="K50" s="13"/>
      <c r="L50" s="33">
        <f>IFERROR(INDEX('Appendix A'!$C$5:$C$42,MATCH('Section 4. Goods and Services'!J50,'Appendix A'!$B$5:$B$42,0)),0)</f>
        <v>0</v>
      </c>
      <c r="M50" s="33">
        <f t="shared" si="0"/>
        <v>0</v>
      </c>
      <c r="N50" s="15">
        <v>0</v>
      </c>
      <c r="O50" s="36">
        <f t="shared" si="1"/>
        <v>0</v>
      </c>
      <c r="P50" s="57" t="str">
        <f>IF(O50&gt;1%*'Section 2. Evaluation'!$C$18,"To be confirmed","")</f>
        <v/>
      </c>
      <c r="Q50" s="183"/>
      <c r="R50" s="183"/>
      <c r="S50" s="183"/>
      <c r="T50" s="183"/>
      <c r="U50" s="183"/>
      <c r="V50" s="183"/>
      <c r="W50" s="183"/>
      <c r="X50" s="183"/>
      <c r="Y50" s="183"/>
      <c r="Z50" s="183"/>
      <c r="AA50" s="183"/>
      <c r="AB50" s="183"/>
      <c r="AC50" s="183"/>
    </row>
    <row r="51" spans="1:29">
      <c r="A51" s="8">
        <f t="shared" si="2"/>
        <v>37</v>
      </c>
      <c r="B51" s="187"/>
      <c r="C51" s="188"/>
      <c r="D51" s="189"/>
      <c r="E51" s="12"/>
      <c r="F51" s="12"/>
      <c r="G51" s="12"/>
      <c r="H51" s="12"/>
      <c r="I51" s="111"/>
      <c r="J51" s="12"/>
      <c r="K51" s="13"/>
      <c r="L51" s="33">
        <f>IFERROR(INDEX('Appendix A'!$C$5:$C$42,MATCH('Section 4. Goods and Services'!J51,'Appendix A'!$B$5:$B$42,0)),0)</f>
        <v>0</v>
      </c>
      <c r="M51" s="33">
        <f t="shared" si="0"/>
        <v>0</v>
      </c>
      <c r="N51" s="15">
        <v>0</v>
      </c>
      <c r="O51" s="36">
        <f t="shared" si="1"/>
        <v>0</v>
      </c>
      <c r="P51" s="57" t="str">
        <f>IF(O51&gt;1%*'Section 2. Evaluation'!$C$18,"To be confirmed","")</f>
        <v/>
      </c>
      <c r="Q51" s="183"/>
      <c r="R51" s="183"/>
      <c r="S51" s="183"/>
      <c r="T51" s="183"/>
      <c r="U51" s="183"/>
      <c r="V51" s="183"/>
      <c r="W51" s="183"/>
      <c r="X51" s="183"/>
      <c r="Y51" s="183"/>
      <c r="Z51" s="183"/>
      <c r="AA51" s="183"/>
      <c r="AB51" s="183"/>
      <c r="AC51" s="183"/>
    </row>
    <row r="52" spans="1:29">
      <c r="A52" s="8">
        <f t="shared" si="2"/>
        <v>38</v>
      </c>
      <c r="B52" s="187"/>
      <c r="C52" s="188"/>
      <c r="D52" s="189"/>
      <c r="E52" s="12"/>
      <c r="F52" s="12"/>
      <c r="G52" s="12"/>
      <c r="H52" s="12"/>
      <c r="I52" s="111"/>
      <c r="J52" s="12"/>
      <c r="K52" s="13"/>
      <c r="L52" s="33">
        <f>IFERROR(INDEX('Appendix A'!$C$5:$C$42,MATCH('Section 4. Goods and Services'!J52,'Appendix A'!$B$5:$B$42,0)),0)</f>
        <v>0</v>
      </c>
      <c r="M52" s="33">
        <f t="shared" si="0"/>
        <v>0</v>
      </c>
      <c r="N52" s="15">
        <v>0</v>
      </c>
      <c r="O52" s="36">
        <f t="shared" si="1"/>
        <v>0</v>
      </c>
      <c r="P52" s="57" t="str">
        <f>IF(O52&gt;1%*'Section 2. Evaluation'!$C$18,"To be confirmed","")</f>
        <v/>
      </c>
      <c r="Q52" s="183"/>
      <c r="R52" s="183"/>
      <c r="S52" s="183"/>
      <c r="T52" s="183"/>
      <c r="U52" s="183"/>
      <c r="V52" s="183"/>
      <c r="W52" s="183"/>
      <c r="X52" s="183"/>
      <c r="Y52" s="183"/>
      <c r="Z52" s="183"/>
      <c r="AA52" s="183"/>
      <c r="AB52" s="183"/>
      <c r="AC52" s="183"/>
    </row>
    <row r="53" spans="1:29">
      <c r="A53" s="8">
        <f t="shared" si="2"/>
        <v>39</v>
      </c>
      <c r="B53" s="187"/>
      <c r="C53" s="188"/>
      <c r="D53" s="189"/>
      <c r="E53" s="12"/>
      <c r="F53" s="12"/>
      <c r="G53" s="12"/>
      <c r="H53" s="12"/>
      <c r="I53" s="111"/>
      <c r="J53" s="12"/>
      <c r="K53" s="13"/>
      <c r="L53" s="33">
        <f>IFERROR(INDEX('Appendix A'!$C$5:$C$42,MATCH('Section 4. Goods and Services'!J53,'Appendix A'!$B$5:$B$42,0)),0)</f>
        <v>0</v>
      </c>
      <c r="M53" s="33">
        <f t="shared" si="0"/>
        <v>0</v>
      </c>
      <c r="N53" s="15">
        <v>0</v>
      </c>
      <c r="O53" s="36">
        <f t="shared" si="1"/>
        <v>0</v>
      </c>
      <c r="P53" s="57" t="str">
        <f>IF(O53&gt;1%*'Section 2. Evaluation'!$C$18,"To be confirmed","")</f>
        <v/>
      </c>
      <c r="Q53" s="183"/>
      <c r="R53" s="183"/>
      <c r="S53" s="183"/>
      <c r="T53" s="183"/>
      <c r="U53" s="183"/>
      <c r="V53" s="183"/>
      <c r="W53" s="183"/>
      <c r="X53" s="183"/>
      <c r="Y53" s="183"/>
      <c r="Z53" s="183"/>
      <c r="AA53" s="183"/>
      <c r="AB53" s="183"/>
      <c r="AC53" s="183"/>
    </row>
    <row r="54" spans="1:29">
      <c r="A54" s="8">
        <f t="shared" si="2"/>
        <v>40</v>
      </c>
      <c r="B54" s="187"/>
      <c r="C54" s="188"/>
      <c r="D54" s="189"/>
      <c r="E54" s="12"/>
      <c r="F54" s="12"/>
      <c r="G54" s="12"/>
      <c r="H54" s="12"/>
      <c r="I54" s="111"/>
      <c r="J54" s="12"/>
      <c r="K54" s="13"/>
      <c r="L54" s="33">
        <f>IFERROR(INDEX('Appendix A'!$C$5:$C$42,MATCH('Section 4. Goods and Services'!J54,'Appendix A'!$B$5:$B$42,0)),0)</f>
        <v>0</v>
      </c>
      <c r="M54" s="33">
        <f t="shared" si="0"/>
        <v>0</v>
      </c>
      <c r="N54" s="15">
        <v>0</v>
      </c>
      <c r="O54" s="36">
        <f t="shared" si="1"/>
        <v>0</v>
      </c>
      <c r="P54" s="57" t="str">
        <f>IF(O54&gt;1%*'Section 2. Evaluation'!$C$18,"To be confirmed","")</f>
        <v/>
      </c>
      <c r="Q54" s="183"/>
      <c r="R54" s="183"/>
      <c r="S54" s="183"/>
      <c r="T54" s="183"/>
      <c r="U54" s="183"/>
      <c r="V54" s="183"/>
      <c r="W54" s="183"/>
      <c r="X54" s="183"/>
      <c r="Y54" s="183"/>
      <c r="Z54" s="183"/>
      <c r="AA54" s="183"/>
      <c r="AB54" s="183"/>
      <c r="AC54" s="183"/>
    </row>
    <row r="55" spans="1:29">
      <c r="A55" s="8"/>
      <c r="B55" s="184" t="s">
        <v>85</v>
      </c>
      <c r="C55" s="185"/>
      <c r="D55" s="185"/>
      <c r="E55" s="185"/>
      <c r="F55" s="185"/>
      <c r="G55" s="185"/>
      <c r="H55" s="185"/>
      <c r="I55" s="185"/>
      <c r="J55" s="185"/>
      <c r="K55" s="185"/>
      <c r="L55" s="186"/>
      <c r="M55" s="33">
        <v>0</v>
      </c>
      <c r="N55" s="15">
        <v>0</v>
      </c>
      <c r="O55" s="36">
        <f>M55*N55</f>
        <v>0</v>
      </c>
      <c r="P55" s="57"/>
      <c r="Q55" s="183"/>
      <c r="R55" s="183"/>
      <c r="S55" s="183"/>
      <c r="T55" s="183"/>
      <c r="U55" s="183"/>
      <c r="V55" s="183"/>
      <c r="W55" s="183"/>
      <c r="X55" s="183"/>
      <c r="Y55" s="183"/>
      <c r="Z55" s="183"/>
      <c r="AA55" s="183"/>
      <c r="AB55" s="183"/>
      <c r="AC55" s="183"/>
    </row>
    <row r="56" spans="1:29">
      <c r="A56" s="8"/>
      <c r="B56" s="184" t="s">
        <v>82</v>
      </c>
      <c r="C56" s="185"/>
      <c r="D56" s="185"/>
      <c r="E56" s="185"/>
      <c r="F56" s="185"/>
      <c r="G56" s="185"/>
      <c r="H56" s="185"/>
      <c r="I56" s="185"/>
      <c r="J56" s="185"/>
      <c r="K56" s="185"/>
      <c r="L56" s="186"/>
      <c r="M56" s="34">
        <f>IFERROR(SUMPRODUCT($N$15:$N$55,$M$15:$M$55)/SUM($N$15:$N$55),0)</f>
        <v>0</v>
      </c>
      <c r="N56" s="35">
        <f>F10-SUM(N15:N55)</f>
        <v>0</v>
      </c>
      <c r="O56" s="35">
        <f t="shared" si="1"/>
        <v>0</v>
      </c>
      <c r="Q56" s="183"/>
      <c r="R56" s="183"/>
      <c r="S56" s="183"/>
      <c r="T56" s="183"/>
      <c r="U56" s="183"/>
      <c r="V56" s="183"/>
      <c r="W56" s="183"/>
      <c r="X56" s="183"/>
      <c r="Y56" s="183"/>
      <c r="Z56" s="183"/>
      <c r="AA56" s="183"/>
      <c r="AB56" s="183"/>
      <c r="AC56" s="183"/>
    </row>
    <row r="57" spans="1:29">
      <c r="A57" s="2"/>
      <c r="B57" s="184" t="s">
        <v>83</v>
      </c>
      <c r="C57" s="185"/>
      <c r="D57" s="185"/>
      <c r="E57" s="185"/>
      <c r="F57" s="185"/>
      <c r="G57" s="185"/>
      <c r="H57" s="185"/>
      <c r="I57" s="185"/>
      <c r="J57" s="185"/>
      <c r="K57" s="185"/>
      <c r="L57" s="185"/>
      <c r="M57" s="186"/>
      <c r="N57" s="35">
        <f>SUM(N15:N56)</f>
        <v>0</v>
      </c>
      <c r="O57" s="35">
        <f>SUM(O15:O56)</f>
        <v>0</v>
      </c>
      <c r="Q57" s="183"/>
      <c r="R57" s="183"/>
      <c r="S57" s="183"/>
      <c r="T57" s="183"/>
      <c r="U57" s="183"/>
      <c r="V57" s="183"/>
      <c r="W57" s="183"/>
      <c r="X57" s="183"/>
      <c r="Y57" s="183"/>
      <c r="Z57" s="183"/>
      <c r="AA57" s="183"/>
      <c r="AB57" s="183"/>
      <c r="AC57" s="183"/>
    </row>
    <row r="58" spans="1:29" ht="17.25" customHeight="1">
      <c r="A58" s="2"/>
      <c r="B58" s="184" t="s">
        <v>264</v>
      </c>
      <c r="C58" s="185"/>
      <c r="D58" s="185"/>
      <c r="E58" s="185"/>
      <c r="F58" s="185"/>
      <c r="G58" s="185"/>
      <c r="H58" s="185"/>
      <c r="I58" s="185"/>
      <c r="J58" s="185"/>
      <c r="K58" s="185"/>
      <c r="L58" s="185"/>
      <c r="M58" s="186"/>
      <c r="N58" s="194" t="str">
        <f>IFERROR(IF(F10&lt;=0,"",IF(OR(AND(N56=0,F10&gt;0),COUNTIFS($N$15:$N$54,"&gt;"&amp;0)&gt;=10),IF((SUM(N15:N55)/F10)&gt;=70%,"Yes","No"),"No")),"")</f>
        <v/>
      </c>
      <c r="O58" s="195"/>
      <c r="Q58" s="106"/>
      <c r="R58" s="106"/>
      <c r="S58" s="106"/>
      <c r="T58" s="106"/>
      <c r="U58" s="106"/>
      <c r="V58" s="106"/>
      <c r="W58" s="106"/>
      <c r="X58" s="106"/>
      <c r="Y58" s="106"/>
      <c r="Z58" s="106"/>
      <c r="AA58" s="106"/>
      <c r="AB58" s="106"/>
      <c r="AC58" s="106"/>
    </row>
    <row r="59" spans="1:29">
      <c r="N59" s="9"/>
    </row>
    <row r="60" spans="1:29">
      <c r="B60" s="1" t="s">
        <v>235</v>
      </c>
    </row>
    <row r="61" spans="1:29">
      <c r="B61" t="s">
        <v>236</v>
      </c>
    </row>
    <row r="62" spans="1:29">
      <c r="B62" s="1" t="s">
        <v>237</v>
      </c>
    </row>
    <row r="63" spans="1:29">
      <c r="B63" s="1" t="s">
        <v>238</v>
      </c>
    </row>
    <row r="64" spans="1:29">
      <c r="B64" s="1" t="s">
        <v>239</v>
      </c>
    </row>
  </sheetData>
  <sheetProtection algorithmName="SHA-512" hashValue="NNPURJCM+K2CbFm2wAKxSYEePAPAihT3/z7kraRn5FKkAmMOFmBGoLFVN4ocqrsxQFLbckgCg9hnzQH3qLnVQQ==" saltValue="cxuwJOld9y5zhSSv7x4q0g==" spinCount="100000" sheet="1" objects="1" scenarios="1"/>
  <mergeCells count="60">
    <mergeCell ref="N58:O58"/>
    <mergeCell ref="B2:G2"/>
    <mergeCell ref="F10:G10"/>
    <mergeCell ref="F11:G11"/>
    <mergeCell ref="B9:G9"/>
    <mergeCell ref="B58:M58"/>
    <mergeCell ref="C3:G3"/>
    <mergeCell ref="C4:G4"/>
    <mergeCell ref="C5:G5"/>
    <mergeCell ref="C6:G6"/>
    <mergeCell ref="C7:G7"/>
    <mergeCell ref="B13:O13"/>
    <mergeCell ref="B57:M57"/>
    <mergeCell ref="B20:D20"/>
    <mergeCell ref="B25:D25"/>
    <mergeCell ref="B26:D26"/>
    <mergeCell ref="P10:AB11"/>
    <mergeCell ref="Q14:AC57"/>
    <mergeCell ref="B10:E10"/>
    <mergeCell ref="B11:E11"/>
    <mergeCell ref="B14:D14"/>
    <mergeCell ref="B15:D15"/>
    <mergeCell ref="B16:D16"/>
    <mergeCell ref="B17:D17"/>
    <mergeCell ref="B18:D18"/>
    <mergeCell ref="B19:D19"/>
    <mergeCell ref="B43:D43"/>
    <mergeCell ref="B32:D32"/>
    <mergeCell ref="B21:D21"/>
    <mergeCell ref="B22:D22"/>
    <mergeCell ref="B23:D23"/>
    <mergeCell ref="B24:D24"/>
    <mergeCell ref="B27:D27"/>
    <mergeCell ref="B28:D28"/>
    <mergeCell ref="B29:D29"/>
    <mergeCell ref="B30:D30"/>
    <mergeCell ref="B31:D31"/>
    <mergeCell ref="B38:D38"/>
    <mergeCell ref="B33:D33"/>
    <mergeCell ref="B34:D34"/>
    <mergeCell ref="B35:D35"/>
    <mergeCell ref="B36:D36"/>
    <mergeCell ref="B37:D37"/>
    <mergeCell ref="B39:D39"/>
    <mergeCell ref="B40:D40"/>
    <mergeCell ref="B41:D41"/>
    <mergeCell ref="B44:D44"/>
    <mergeCell ref="B42:D42"/>
    <mergeCell ref="B55:L55"/>
    <mergeCell ref="B56:L56"/>
    <mergeCell ref="B45:D45"/>
    <mergeCell ref="B46:D46"/>
    <mergeCell ref="B47:D47"/>
    <mergeCell ref="B48:D48"/>
    <mergeCell ref="B49:D49"/>
    <mergeCell ref="B50:D50"/>
    <mergeCell ref="B51:D51"/>
    <mergeCell ref="B52:D52"/>
    <mergeCell ref="B53:D53"/>
    <mergeCell ref="B54:D54"/>
  </mergeCells>
  <conditionalFormatting sqref="I15:I54">
    <cfRule type="expression" dxfId="0" priority="1">
      <formula>AND(G15="Goods",H15="Local")</formula>
    </cfRule>
  </conditionalFormatting>
  <dataValidations count="4">
    <dataValidation type="decimal" operator="greaterThanOrEqual" allowBlank="1" showInputMessage="1" showErrorMessage="1" sqref="K15:K54 N15:N55 F10 H10" xr:uid="{00000000-0002-0000-0400-000000000000}">
      <formula1>0</formula1>
    </dataValidation>
    <dataValidation type="list" allowBlank="1" showInputMessage="1" showErrorMessage="1" sqref="H15:H54" xr:uid="{00000000-0002-0000-0400-000001000000}">
      <formula1>"Local, Foreign"</formula1>
    </dataValidation>
    <dataValidation type="list" allowBlank="1" showInputMessage="1" showErrorMessage="1" sqref="G15:G54" xr:uid="{00000000-0002-0000-0400-000002000000}">
      <formula1>"Goods, Services"</formula1>
    </dataValidation>
    <dataValidation type="custom" showInputMessage="1" showErrorMessage="1" sqref="I15:I54" xr:uid="{6DE73CD3-1066-4502-9DC1-384CD43B0193}">
      <formula1>AND(G15="Goods",H15="Local")</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O57" evalError="1"/>
  </ignoredErrors>
  <extLst>
    <ext xmlns:x14="http://schemas.microsoft.com/office/spreadsheetml/2009/9/main" uri="{CCE6A557-97BC-4b89-ADB6-D9C93CAAB3DF}">
      <x14:dataValidations xmlns:xm="http://schemas.microsoft.com/office/excel/2006/main" count="1">
        <x14:dataValidation type="list" allowBlank="1" showInputMessage="1" showErrorMessage="1" xr:uid="{CBDB76F2-3BCD-4BD0-B0AA-3953F6A1F035}">
          <x14:formula1>
            <xm:f>IF(AND(G15="Services",H15="Local"),'Appendix A'!$B$5:$B$26,IF(AND(G15="Goods",H15="Local"),'Appendix A'!$B$28:$B$41,IF((AND(G15="Services",H15="Foreign")),'Appendix A'!$B$27,'Appendix A'!$B$42)))</xm:f>
          </x14:formula1>
          <xm:sqref>J15:J54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autoPageBreaks="0"/>
  </sheetPr>
  <dimension ref="B1:Q33"/>
  <sheetViews>
    <sheetView showGridLines="0" zoomScaleNormal="100" workbookViewId="0"/>
  </sheetViews>
  <sheetFormatPr defaultColWidth="8.85546875" defaultRowHeight="15"/>
  <cols>
    <col min="1" max="1" width="4.42578125" customWidth="1"/>
    <col min="2" max="2" width="85.5703125" customWidth="1"/>
    <col min="3" max="3" width="64.7109375" customWidth="1"/>
    <col min="4" max="4" width="6.42578125" customWidth="1"/>
    <col min="5" max="10" width="14.42578125" customWidth="1"/>
  </cols>
  <sheetData>
    <row r="1" spans="2:17" ht="28.5">
      <c r="B1" s="6" t="s">
        <v>9</v>
      </c>
    </row>
    <row r="2" spans="2:17" ht="21" customHeight="1">
      <c r="B2" s="144" t="s">
        <v>51</v>
      </c>
      <c r="C2" s="144"/>
    </row>
    <row r="3" spans="2:17">
      <c r="B3" s="19" t="s">
        <v>47</v>
      </c>
      <c r="C3" s="37" t="str">
        <f>IF('Section 1. General Information'!$C$13:$D$13="","",'Section 1. General Information'!$C$13:$D$13)</f>
        <v/>
      </c>
    </row>
    <row r="4" spans="2:17">
      <c r="B4" s="19" t="s">
        <v>42</v>
      </c>
      <c r="C4" s="38" t="str">
        <f>IF('Section 1. General Information'!$C$4:$D$4="","",'Section 1. General Information'!$C$4:$D$4)</f>
        <v/>
      </c>
    </row>
    <row r="5" spans="2:17">
      <c r="B5" s="19" t="s">
        <v>43</v>
      </c>
      <c r="C5" s="39" t="str">
        <f>IF('Section 1. General Information'!$C$6:$D$6="","",'Section 1. General Information'!$C$6:$D$6)</f>
        <v/>
      </c>
    </row>
    <row r="6" spans="2:17">
      <c r="B6" s="19" t="s">
        <v>91</v>
      </c>
      <c r="C6" s="39" t="str">
        <f>IF('Section 1. General Information'!$C$7:$D$7="","",'Section 1. General Information'!$C$7:$D$7)</f>
        <v/>
      </c>
    </row>
    <row r="7" spans="2:17">
      <c r="B7" s="19" t="s">
        <v>84</v>
      </c>
      <c r="C7" s="56" t="str">
        <f>IF('Section 1. General Information'!$C$8="","",'Section 1. General Information'!$C$8)</f>
        <v/>
      </c>
      <c r="D7" s="55"/>
      <c r="E7" s="55"/>
    </row>
    <row r="8" spans="2:17" ht="14.45" customHeight="1"/>
    <row r="9" spans="2:17" ht="21" customHeight="1">
      <c r="B9" s="203" t="s">
        <v>86</v>
      </c>
      <c r="C9" s="203"/>
      <c r="E9" s="5"/>
    </row>
    <row r="10" spans="2:17" ht="22.15" customHeight="1">
      <c r="B10" s="20" t="s">
        <v>240</v>
      </c>
      <c r="C10" s="15">
        <v>0</v>
      </c>
      <c r="E10" s="183"/>
      <c r="F10" s="183"/>
      <c r="G10" s="183"/>
      <c r="H10" s="183"/>
      <c r="I10" s="183"/>
      <c r="J10" s="183"/>
      <c r="K10" s="183"/>
      <c r="L10" s="183"/>
      <c r="M10" s="183"/>
      <c r="N10" s="183"/>
      <c r="O10" s="183"/>
      <c r="P10" s="183"/>
      <c r="Q10" s="183"/>
    </row>
    <row r="12" spans="2:17" ht="21" customHeight="1">
      <c r="B12" s="203" t="s">
        <v>87</v>
      </c>
      <c r="C12" s="203"/>
      <c r="E12" s="5"/>
    </row>
    <row r="13" spans="2:17" ht="22.15" customHeight="1">
      <c r="B13" s="20" t="s">
        <v>241</v>
      </c>
      <c r="C13" s="15">
        <v>0</v>
      </c>
      <c r="E13" s="183"/>
      <c r="F13" s="183"/>
      <c r="G13" s="183"/>
      <c r="H13" s="183"/>
      <c r="I13" s="183"/>
      <c r="J13" s="183"/>
      <c r="K13" s="183"/>
      <c r="L13" s="183"/>
      <c r="M13" s="183"/>
      <c r="N13" s="183"/>
      <c r="O13" s="183"/>
      <c r="P13" s="183"/>
      <c r="Q13" s="183"/>
    </row>
    <row r="15" spans="2:17" ht="21" customHeight="1">
      <c r="B15" s="203" t="s">
        <v>88</v>
      </c>
      <c r="C15" s="203"/>
      <c r="E15" s="5"/>
    </row>
    <row r="16" spans="2:17" ht="22.15" customHeight="1">
      <c r="B16" s="20" t="s">
        <v>242</v>
      </c>
      <c r="C16" s="15">
        <v>0</v>
      </c>
      <c r="E16" s="183"/>
      <c r="F16" s="183"/>
      <c r="G16" s="183"/>
      <c r="H16" s="183"/>
      <c r="I16" s="183"/>
      <c r="J16" s="183"/>
      <c r="K16" s="183"/>
      <c r="L16" s="183"/>
      <c r="M16" s="183"/>
      <c r="N16" s="183"/>
      <c r="O16" s="183"/>
      <c r="P16" s="183"/>
      <c r="Q16" s="183"/>
    </row>
    <row r="18" spans="2:3">
      <c r="B18" t="s">
        <v>243</v>
      </c>
      <c r="C18" s="3"/>
    </row>
    <row r="19" spans="2:3">
      <c r="B19" t="s">
        <v>244</v>
      </c>
    </row>
    <row r="20" spans="2:3">
      <c r="B20" t="s">
        <v>245</v>
      </c>
    </row>
    <row r="33" spans="2:3" ht="21">
      <c r="B33" s="202"/>
      <c r="C33" s="202"/>
    </row>
  </sheetData>
  <sheetProtection algorithmName="SHA-512" hashValue="VQ9hVeCxjV7RVXpdB19Ojy04u2gdE30EWT6/hIw8fYtddWPa5MJIrZyRiWcBN0FYf/39R5GZK+/LTJhx1MgeEw==" saltValue="tTZApEbS+0NiqdBsssw0HQ==" spinCount="100000" sheet="1" objects="1" scenarios="1"/>
  <mergeCells count="8">
    <mergeCell ref="B33:C33"/>
    <mergeCell ref="B15:C15"/>
    <mergeCell ref="B12:C12"/>
    <mergeCell ref="B2:C2"/>
    <mergeCell ref="E10:Q10"/>
    <mergeCell ref="E13:Q13"/>
    <mergeCell ref="E16:Q16"/>
    <mergeCell ref="B9:C9"/>
  </mergeCells>
  <dataValidations count="1">
    <dataValidation type="decimal" operator="greaterThanOrEqual" allowBlank="1" showInputMessage="1" showErrorMessage="1" sqref="C10 C13 C16" xr:uid="{00000000-0002-0000-0500-000000000000}">
      <formula1>0</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autoPageBreaks="0"/>
  </sheetPr>
  <dimension ref="A1:P38"/>
  <sheetViews>
    <sheetView showGridLines="0" zoomScaleNormal="100" workbookViewId="0"/>
  </sheetViews>
  <sheetFormatPr defaultColWidth="8.85546875" defaultRowHeight="15"/>
  <cols>
    <col min="1" max="1" width="4.42578125" customWidth="1"/>
    <col min="2" max="2" width="59" bestFit="1" customWidth="1"/>
    <col min="3" max="3" width="95.140625" bestFit="1" customWidth="1"/>
    <col min="4" max="4" width="40.5703125" customWidth="1"/>
    <col min="5" max="5" width="42.42578125" customWidth="1"/>
    <col min="6" max="6" width="41.42578125" customWidth="1"/>
    <col min="7" max="9" width="14.42578125" customWidth="1"/>
  </cols>
  <sheetData>
    <row r="1" spans="2:16" ht="28.5">
      <c r="B1" s="6" t="s">
        <v>290</v>
      </c>
    </row>
    <row r="2" spans="2:16" ht="21" customHeight="1">
      <c r="B2" s="40" t="s">
        <v>269</v>
      </c>
      <c r="C2" s="40"/>
      <c r="D2" s="1"/>
      <c r="E2" s="1"/>
      <c r="F2" s="1"/>
    </row>
    <row r="3" spans="2:16">
      <c r="B3" s="20" t="s">
        <v>47</v>
      </c>
      <c r="C3" s="37" t="str">
        <f>IF('Section 1. General Information'!$C$13:$D$13="","",'Section 1. General Information'!$C$13:$D$13)</f>
        <v/>
      </c>
      <c r="D3" s="1"/>
      <c r="E3" s="1"/>
      <c r="F3" s="1"/>
    </row>
    <row r="4" spans="2:16">
      <c r="B4" s="20" t="s">
        <v>42</v>
      </c>
      <c r="C4" s="38" t="str">
        <f>IF('Section 1. General Information'!$C$4:$D$4="","",'Section 1. General Information'!$C$4:$D$4)</f>
        <v/>
      </c>
      <c r="D4" s="1"/>
      <c r="E4" s="1"/>
      <c r="F4" s="1"/>
    </row>
    <row r="5" spans="2:16">
      <c r="B5" s="20" t="s">
        <v>43</v>
      </c>
      <c r="C5" s="39" t="str">
        <f>IF('Section 1. General Information'!$C$6:$D$6="","",'Section 1. General Information'!$C$6:$D$6)</f>
        <v/>
      </c>
      <c r="D5" s="1"/>
      <c r="E5" s="1"/>
      <c r="F5" s="1"/>
    </row>
    <row r="6" spans="2:16">
      <c r="B6" s="20" t="s">
        <v>91</v>
      </c>
      <c r="C6" s="39" t="str">
        <f>IF('Section 1. General Information'!$C$7:$D$7="","",'Section 1. General Information'!$C$7:$D$7)</f>
        <v/>
      </c>
      <c r="D6" s="1"/>
      <c r="E6" s="1"/>
      <c r="F6" s="1"/>
    </row>
    <row r="7" spans="2:16">
      <c r="B7" s="19" t="s">
        <v>84</v>
      </c>
      <c r="C7" s="56" t="str">
        <f>IF('Section 1. General Information'!$C$8="","",'Section 1. General Information'!$C$8)</f>
        <v/>
      </c>
      <c r="D7" s="55"/>
      <c r="E7" s="55"/>
    </row>
    <row r="8" spans="2:16" ht="14.45" customHeight="1">
      <c r="B8" s="1"/>
      <c r="C8" s="1"/>
      <c r="D8" s="1"/>
      <c r="E8" s="1"/>
      <c r="F8" s="1"/>
    </row>
    <row r="9" spans="2:16" ht="21" customHeight="1">
      <c r="B9" s="122" t="s">
        <v>268</v>
      </c>
      <c r="C9" s="122"/>
      <c r="D9" s="1"/>
      <c r="E9" s="1"/>
      <c r="F9" s="1"/>
    </row>
    <row r="10" spans="2:16" ht="22.35" customHeight="1">
      <c r="B10" s="20" t="s">
        <v>265</v>
      </c>
      <c r="C10" s="116">
        <v>0</v>
      </c>
      <c r="D10" s="1"/>
      <c r="E10" s="1"/>
      <c r="F10" s="1"/>
      <c r="G10" s="113"/>
      <c r="H10" s="113"/>
      <c r="I10" s="113"/>
      <c r="J10" s="113"/>
      <c r="K10" s="113"/>
      <c r="L10" s="113"/>
      <c r="M10" s="113"/>
      <c r="N10" s="113"/>
      <c r="O10" s="113"/>
      <c r="P10" s="113"/>
    </row>
    <row r="11" spans="2:16" ht="22.35" customHeight="1">
      <c r="B11" s="20" t="s">
        <v>266</v>
      </c>
      <c r="C11" s="120">
        <f>F30</f>
        <v>0</v>
      </c>
      <c r="D11" s="1"/>
      <c r="E11" s="1"/>
      <c r="F11" s="1"/>
      <c r="G11" s="113"/>
      <c r="H11" s="113"/>
      <c r="I11" s="113"/>
      <c r="J11" s="113"/>
      <c r="K11" s="113"/>
      <c r="L11" s="113"/>
      <c r="M11" s="113"/>
      <c r="N11" s="113"/>
      <c r="O11" s="113"/>
      <c r="P11" s="113"/>
    </row>
    <row r="12" spans="2:16" ht="22.35" customHeight="1">
      <c r="B12" s="112" t="s">
        <v>267</v>
      </c>
      <c r="C12" s="121">
        <f>IFERROR(C11/C10,0)</f>
        <v>0</v>
      </c>
      <c r="D12" s="1"/>
      <c r="E12" s="1"/>
      <c r="F12" s="1"/>
      <c r="G12" s="113"/>
      <c r="H12" s="113"/>
      <c r="I12" s="113"/>
      <c r="J12" s="113"/>
      <c r="K12" s="113"/>
      <c r="L12" s="113"/>
      <c r="M12" s="113"/>
      <c r="N12" s="113"/>
      <c r="O12" s="113"/>
      <c r="P12" s="113"/>
    </row>
    <row r="13" spans="2:16">
      <c r="B13" s="1"/>
      <c r="C13" s="1"/>
      <c r="D13" s="1"/>
      <c r="E13" s="1"/>
      <c r="F13" s="1"/>
    </row>
    <row r="14" spans="2:16" ht="21" customHeight="1">
      <c r="B14" s="122" t="s">
        <v>291</v>
      </c>
      <c r="C14" s="122"/>
      <c r="D14" s="122"/>
      <c r="E14" s="122"/>
      <c r="F14" s="122"/>
    </row>
    <row r="15" spans="2:16" ht="31.5" customHeight="1">
      <c r="B15" s="125" t="s">
        <v>246</v>
      </c>
      <c r="C15" s="125" t="s">
        <v>270</v>
      </c>
      <c r="D15" s="29" t="s">
        <v>271</v>
      </c>
      <c r="E15" s="29" t="s">
        <v>272</v>
      </c>
      <c r="F15" s="125" t="s">
        <v>273</v>
      </c>
      <c r="G15" s="113"/>
      <c r="H15" s="113"/>
      <c r="I15" s="113"/>
      <c r="J15" s="113"/>
      <c r="K15" s="113"/>
      <c r="L15" s="113"/>
      <c r="M15" s="113"/>
      <c r="N15" s="113"/>
      <c r="O15" s="113"/>
      <c r="P15" s="113"/>
    </row>
    <row r="16" spans="2:16" ht="44.25" customHeight="1">
      <c r="B16" s="126"/>
      <c r="C16" s="126"/>
      <c r="D16" s="29" t="s">
        <v>89</v>
      </c>
      <c r="E16" s="29" t="s">
        <v>89</v>
      </c>
      <c r="F16" s="126"/>
      <c r="G16" s="113"/>
      <c r="H16" s="113"/>
      <c r="I16" s="113"/>
      <c r="J16" s="113"/>
      <c r="K16" s="113"/>
      <c r="L16" s="113"/>
      <c r="M16" s="113"/>
      <c r="N16" s="113"/>
      <c r="O16" s="113"/>
      <c r="P16" s="113"/>
    </row>
    <row r="17" spans="1:16" ht="17.25">
      <c r="A17" s="8">
        <v>1</v>
      </c>
      <c r="B17" s="104" t="s">
        <v>274</v>
      </c>
      <c r="C17" s="42" t="s">
        <v>178</v>
      </c>
      <c r="D17" s="127">
        <v>0</v>
      </c>
      <c r="E17" s="128"/>
      <c r="F17" s="105">
        <f>D17*100%</f>
        <v>0</v>
      </c>
    </row>
    <row r="18" spans="1:16" ht="21" customHeight="1">
      <c r="A18" s="8">
        <f>A17+1</f>
        <v>2</v>
      </c>
      <c r="B18" s="42" t="s">
        <v>275</v>
      </c>
      <c r="C18" s="42" t="s">
        <v>11</v>
      </c>
      <c r="D18" s="14">
        <v>0</v>
      </c>
      <c r="E18" s="14">
        <v>0</v>
      </c>
      <c r="F18" s="105">
        <f>(D18*100%)+(E18*30%)</f>
        <v>0</v>
      </c>
      <c r="G18" s="119" t="str">
        <f>IF(D18&gt;1%*'Section 2. Evaluation'!$C$18,"Need to be tested","")</f>
        <v/>
      </c>
    </row>
    <row r="19" spans="1:16" ht="22.35" customHeight="1">
      <c r="A19" s="8">
        <f t="shared" ref="A19:A29" si="0">A18+1</f>
        <v>3</v>
      </c>
      <c r="B19" s="42" t="s">
        <v>276</v>
      </c>
      <c r="C19" s="42" t="s">
        <v>179</v>
      </c>
      <c r="D19" s="14">
        <v>0</v>
      </c>
      <c r="E19" s="14">
        <v>0</v>
      </c>
      <c r="F19" s="105">
        <f t="shared" ref="F19:F29" si="1">(D19*100%)+(E19*30%)</f>
        <v>0</v>
      </c>
      <c r="G19" s="119" t="str">
        <f>IF(D19&gt;1%*'Section 2. Evaluation'!$C$18,"Need to be tested","")</f>
        <v/>
      </c>
      <c r="H19" s="113"/>
      <c r="I19" s="113"/>
      <c r="J19" s="113"/>
      <c r="K19" s="113"/>
      <c r="L19" s="113"/>
      <c r="M19" s="113"/>
      <c r="N19" s="113"/>
      <c r="O19" s="113"/>
      <c r="P19" s="113"/>
    </row>
    <row r="20" spans="1:16" ht="21.95" customHeight="1">
      <c r="A20" s="8">
        <f t="shared" si="0"/>
        <v>4</v>
      </c>
      <c r="B20" s="42" t="s">
        <v>277</v>
      </c>
      <c r="C20" s="42" t="s">
        <v>107</v>
      </c>
      <c r="D20" s="14">
        <v>0</v>
      </c>
      <c r="E20" s="14">
        <v>0</v>
      </c>
      <c r="F20" s="105">
        <f t="shared" si="1"/>
        <v>0</v>
      </c>
      <c r="G20" s="119" t="str">
        <f>IF(D20&gt;1%*'Section 2. Evaluation'!$C$18,"Need to be tested","")</f>
        <v/>
      </c>
    </row>
    <row r="21" spans="1:16" ht="21.95" customHeight="1">
      <c r="A21" s="8">
        <f t="shared" si="0"/>
        <v>5</v>
      </c>
      <c r="B21" s="42" t="s">
        <v>278</v>
      </c>
      <c r="C21" s="42" t="s">
        <v>279</v>
      </c>
      <c r="D21" s="14">
        <v>0</v>
      </c>
      <c r="E21" s="14">
        <v>0</v>
      </c>
      <c r="F21" s="105">
        <f t="shared" si="1"/>
        <v>0</v>
      </c>
      <c r="G21" s="119" t="str">
        <f>IF(D21&gt;1%*'Section 2. Evaluation'!$C$18,"Need to be tested","")</f>
        <v/>
      </c>
    </row>
    <row r="22" spans="1:16">
      <c r="A22" s="8">
        <f t="shared" si="0"/>
        <v>6</v>
      </c>
      <c r="B22" s="42" t="s">
        <v>280</v>
      </c>
      <c r="C22" s="42" t="s">
        <v>281</v>
      </c>
      <c r="D22" s="14">
        <v>0</v>
      </c>
      <c r="E22" s="14">
        <v>0</v>
      </c>
      <c r="F22" s="105">
        <f t="shared" si="1"/>
        <v>0</v>
      </c>
      <c r="G22" s="119" t="str">
        <f>IF(D22&gt;1%*'Section 2. Evaluation'!$C$18,"Need to be tested","")</f>
        <v/>
      </c>
    </row>
    <row r="23" spans="1:16">
      <c r="A23" s="8">
        <f t="shared" si="0"/>
        <v>7</v>
      </c>
      <c r="B23" s="42" t="s">
        <v>282</v>
      </c>
      <c r="C23" s="42" t="s">
        <v>283</v>
      </c>
      <c r="D23" s="14">
        <v>0</v>
      </c>
      <c r="E23" s="14">
        <v>0</v>
      </c>
      <c r="F23" s="105">
        <f t="shared" si="1"/>
        <v>0</v>
      </c>
      <c r="G23" s="119" t="str">
        <f>IF(D23&gt;1%*'Section 2. Evaluation'!$C$18,"Need to be tested","")</f>
        <v/>
      </c>
    </row>
    <row r="24" spans="1:16">
      <c r="A24" s="8">
        <f t="shared" si="0"/>
        <v>8</v>
      </c>
      <c r="B24" s="42" t="s">
        <v>284</v>
      </c>
      <c r="C24" s="42" t="s">
        <v>285</v>
      </c>
      <c r="D24" s="14">
        <v>0</v>
      </c>
      <c r="E24" s="14">
        <v>0</v>
      </c>
      <c r="F24" s="105">
        <f t="shared" si="1"/>
        <v>0</v>
      </c>
      <c r="G24" s="119" t="str">
        <f>IF(D24&gt;1%*'Section 2. Evaluation'!$C$18,"Need to be tested","")</f>
        <v/>
      </c>
    </row>
    <row r="25" spans="1:16">
      <c r="A25" s="8">
        <f t="shared" si="0"/>
        <v>9</v>
      </c>
      <c r="B25" s="114" t="s">
        <v>286</v>
      </c>
      <c r="C25" s="114" t="s">
        <v>10</v>
      </c>
      <c r="D25" s="14">
        <v>0</v>
      </c>
      <c r="E25" s="14">
        <v>0</v>
      </c>
      <c r="F25" s="105">
        <f t="shared" si="1"/>
        <v>0</v>
      </c>
      <c r="G25" s="119" t="str">
        <f>IF(D25&gt;1%*'Section 2. Evaluation'!$C$18,"Need to be tested","")</f>
        <v/>
      </c>
    </row>
    <row r="26" spans="1:16">
      <c r="A26" s="8">
        <f t="shared" si="0"/>
        <v>10</v>
      </c>
      <c r="B26" s="114" t="s">
        <v>286</v>
      </c>
      <c r="C26" s="114" t="s">
        <v>10</v>
      </c>
      <c r="D26" s="14">
        <v>0</v>
      </c>
      <c r="E26" s="14">
        <v>0</v>
      </c>
      <c r="F26" s="105">
        <f t="shared" si="1"/>
        <v>0</v>
      </c>
      <c r="G26" s="119" t="str">
        <f>IF(D26&gt;1%*'Section 2. Evaluation'!$C$18,"Need to be tested","")</f>
        <v/>
      </c>
    </row>
    <row r="27" spans="1:16">
      <c r="A27" s="8">
        <f t="shared" si="0"/>
        <v>11</v>
      </c>
      <c r="B27" s="114" t="s">
        <v>286</v>
      </c>
      <c r="C27" s="114" t="s">
        <v>10</v>
      </c>
      <c r="D27" s="14">
        <v>0</v>
      </c>
      <c r="E27" s="14">
        <v>0</v>
      </c>
      <c r="F27" s="105">
        <f t="shared" si="1"/>
        <v>0</v>
      </c>
      <c r="G27" s="119" t="str">
        <f>IF(D27&gt;1%*'Section 2. Evaluation'!$C$18,"Need to be tested","")</f>
        <v/>
      </c>
    </row>
    <row r="28" spans="1:16">
      <c r="A28" s="8">
        <f t="shared" si="0"/>
        <v>12</v>
      </c>
      <c r="B28" s="114" t="s">
        <v>286</v>
      </c>
      <c r="C28" s="114" t="s">
        <v>10</v>
      </c>
      <c r="D28" s="14">
        <v>0</v>
      </c>
      <c r="E28" s="14">
        <v>0</v>
      </c>
      <c r="F28" s="105">
        <f t="shared" si="1"/>
        <v>0</v>
      </c>
      <c r="G28" s="119" t="str">
        <f>IF(D28&gt;1%*'Section 2. Evaluation'!$C$18,"Need to be tested","")</f>
        <v/>
      </c>
    </row>
    <row r="29" spans="1:16">
      <c r="A29" s="8">
        <f t="shared" si="0"/>
        <v>13</v>
      </c>
      <c r="B29" s="114" t="s">
        <v>286</v>
      </c>
      <c r="C29" s="114" t="s">
        <v>10</v>
      </c>
      <c r="D29" s="14">
        <v>0</v>
      </c>
      <c r="E29" s="14">
        <v>0</v>
      </c>
      <c r="F29" s="105">
        <f t="shared" si="1"/>
        <v>0</v>
      </c>
      <c r="G29" s="119" t="str">
        <f>IF(D29&gt;1%*'Section 2. Evaluation'!$C$18,"Need to be tested","")</f>
        <v/>
      </c>
    </row>
    <row r="30" spans="1:16" ht="24.75" customHeight="1">
      <c r="B30" s="123" t="s">
        <v>287</v>
      </c>
      <c r="C30" s="124"/>
      <c r="D30" s="117">
        <f>SUM(D17:D29)</f>
        <v>0</v>
      </c>
      <c r="E30" s="117">
        <f>SUM(E18:E29)</f>
        <v>0</v>
      </c>
      <c r="F30" s="117">
        <f>SUM(F17:F29)</f>
        <v>0</v>
      </c>
    </row>
    <row r="32" spans="1:16">
      <c r="B32" t="s">
        <v>288</v>
      </c>
      <c r="E32" s="118"/>
    </row>
    <row r="33" spans="2:3">
      <c r="B33" t="s">
        <v>289</v>
      </c>
    </row>
    <row r="38" spans="2:3" ht="21">
      <c r="B38" s="115"/>
      <c r="C38" s="115"/>
    </row>
  </sheetData>
  <sheetProtection algorithmName="SHA-512" hashValue="Ew+JSa4XjwCG90VGbkoSZ3zlxbto9PhRcDnWzd1FOSdcCUbwxsEIMjwV6HgocPW18eGIBUURWvUOn4KWl6gHfQ==" saltValue="I+yAQDonzOToZ0Ym9I0esA==" spinCount="100000" sheet="1" objects="1" scenarios="1"/>
  <mergeCells count="7">
    <mergeCell ref="B9:C9"/>
    <mergeCell ref="B30:C30"/>
    <mergeCell ref="C15:C16"/>
    <mergeCell ref="B15:B16"/>
    <mergeCell ref="B14:F14"/>
    <mergeCell ref="F15:F16"/>
    <mergeCell ref="D17:E17"/>
  </mergeCells>
  <dataValidations count="1">
    <dataValidation type="decimal" operator="greaterThan" allowBlank="1" showInputMessage="1" showErrorMessage="1" sqref="C10:C12 D17:D29 E18:E29" xr:uid="{F011D435-4660-47E3-9F46-1AF6A3AC9077}">
      <formula1>-1</formula1>
    </dataValidation>
  </dataValidations>
  <pageMargins left="0.7" right="0.7" top="0.75" bottom="0.75" header="0.3" footer="0.3"/>
  <pageSetup paperSize="9" orientation="portrait"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ignoredErrors>
    <ignoredError sqref="E30" formula="1"/>
    <ignoredError sqref="C11:C12"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autoPageBreaks="0" fitToPage="1"/>
  </sheetPr>
  <dimension ref="B1:G44"/>
  <sheetViews>
    <sheetView showGridLines="0" zoomScaleNormal="100" workbookViewId="0"/>
  </sheetViews>
  <sheetFormatPr defaultColWidth="8.85546875" defaultRowHeight="15"/>
  <cols>
    <col min="1" max="1" width="5.28515625" customWidth="1"/>
    <col min="2" max="2" width="92.28515625" bestFit="1" customWidth="1"/>
    <col min="3" max="3" width="13.42578125" customWidth="1"/>
    <col min="4" max="4" width="249.42578125" customWidth="1"/>
    <col min="5" max="5" width="52.42578125" customWidth="1"/>
    <col min="6" max="15" width="11.5703125" customWidth="1"/>
  </cols>
  <sheetData>
    <row r="1" spans="2:5" ht="28.5">
      <c r="B1" s="6" t="s">
        <v>48</v>
      </c>
    </row>
    <row r="2" spans="2:5" ht="18" customHeight="1">
      <c r="B2" s="43" t="s">
        <v>26</v>
      </c>
      <c r="C2" s="43"/>
      <c r="D2" s="44"/>
      <c r="E2" s="54"/>
    </row>
    <row r="3" spans="2:5" ht="21">
      <c r="B3" s="45" t="s">
        <v>52</v>
      </c>
      <c r="C3" s="46"/>
      <c r="D3" s="47"/>
      <c r="E3" s="54"/>
    </row>
    <row r="4" spans="2:5" ht="30">
      <c r="B4" s="48" t="s">
        <v>25</v>
      </c>
      <c r="C4" s="41" t="s">
        <v>4</v>
      </c>
      <c r="D4" s="41" t="s">
        <v>0</v>
      </c>
      <c r="E4" s="53" t="s">
        <v>180</v>
      </c>
    </row>
    <row r="5" spans="2:5">
      <c r="B5" s="49" t="s">
        <v>108</v>
      </c>
      <c r="C5" s="65">
        <v>0.6</v>
      </c>
      <c r="D5" s="50" t="s">
        <v>170</v>
      </c>
      <c r="E5" s="66" t="s">
        <v>121</v>
      </c>
    </row>
    <row r="6" spans="2:5">
      <c r="B6" s="49" t="s">
        <v>94</v>
      </c>
      <c r="C6" s="65">
        <v>0.4</v>
      </c>
      <c r="D6" s="50" t="s">
        <v>39</v>
      </c>
      <c r="E6" s="66">
        <v>56</v>
      </c>
    </row>
    <row r="7" spans="2:5">
      <c r="B7" s="49" t="s">
        <v>109</v>
      </c>
      <c r="C7" s="65">
        <v>0.36</v>
      </c>
      <c r="D7" s="50" t="s">
        <v>113</v>
      </c>
      <c r="E7" s="66" t="s">
        <v>172</v>
      </c>
    </row>
    <row r="8" spans="2:5">
      <c r="B8" s="49" t="s">
        <v>95</v>
      </c>
      <c r="C8" s="65">
        <v>0.82</v>
      </c>
      <c r="D8" s="50" t="s">
        <v>53</v>
      </c>
      <c r="E8" s="66" t="s">
        <v>54</v>
      </c>
    </row>
    <row r="9" spans="2:5">
      <c r="B9" s="49" t="s">
        <v>110</v>
      </c>
      <c r="C9" s="65">
        <v>0.5</v>
      </c>
      <c r="D9" s="50" t="s">
        <v>55</v>
      </c>
      <c r="E9" s="66" t="s">
        <v>56</v>
      </c>
    </row>
    <row r="10" spans="2:5">
      <c r="B10" s="49" t="s">
        <v>96</v>
      </c>
      <c r="C10" s="65">
        <v>0.2</v>
      </c>
      <c r="D10" s="50" t="s">
        <v>57</v>
      </c>
      <c r="E10" s="66" t="s">
        <v>56</v>
      </c>
    </row>
    <row r="11" spans="2:5">
      <c r="B11" s="49" t="s">
        <v>97</v>
      </c>
      <c r="C11" s="65">
        <v>0.48</v>
      </c>
      <c r="D11" s="50" t="s">
        <v>58</v>
      </c>
      <c r="E11" s="66" t="s">
        <v>59</v>
      </c>
    </row>
    <row r="12" spans="2:5">
      <c r="B12" s="49" t="s">
        <v>111</v>
      </c>
      <c r="C12" s="65">
        <v>0.4</v>
      </c>
      <c r="D12" s="50" t="s">
        <v>114</v>
      </c>
      <c r="E12" s="66" t="s">
        <v>60</v>
      </c>
    </row>
    <row r="13" spans="2:5">
      <c r="B13" s="49" t="s">
        <v>112</v>
      </c>
      <c r="C13" s="65">
        <v>0.66</v>
      </c>
      <c r="D13" s="50" t="s">
        <v>61</v>
      </c>
      <c r="E13" s="66" t="s">
        <v>62</v>
      </c>
    </row>
    <row r="14" spans="2:5">
      <c r="B14" s="49" t="s">
        <v>141</v>
      </c>
      <c r="C14" s="65">
        <v>0.75</v>
      </c>
      <c r="D14" s="50" t="s">
        <v>171</v>
      </c>
      <c r="E14" s="66" t="s">
        <v>173</v>
      </c>
    </row>
    <row r="15" spans="2:5">
      <c r="B15" s="51" t="s">
        <v>142</v>
      </c>
      <c r="C15" s="65">
        <v>0.38</v>
      </c>
      <c r="D15" s="50" t="s">
        <v>28</v>
      </c>
      <c r="E15" s="66" t="s">
        <v>63</v>
      </c>
    </row>
    <row r="16" spans="2:5">
      <c r="B16" s="27" t="s">
        <v>143</v>
      </c>
      <c r="C16" s="65">
        <v>0.69</v>
      </c>
      <c r="D16" s="63" t="s">
        <v>115</v>
      </c>
      <c r="E16" s="66" t="s">
        <v>174</v>
      </c>
    </row>
    <row r="17" spans="2:7" ht="15.6" customHeight="1">
      <c r="B17" s="49" t="s">
        <v>144</v>
      </c>
      <c r="C17" s="67">
        <v>0.45</v>
      </c>
      <c r="D17" s="52" t="s">
        <v>64</v>
      </c>
      <c r="E17" s="66" t="s">
        <v>65</v>
      </c>
    </row>
    <row r="18" spans="2:7">
      <c r="B18" s="27" t="s">
        <v>145</v>
      </c>
      <c r="C18" s="67">
        <v>0.3</v>
      </c>
      <c r="D18" s="68" t="s">
        <v>33</v>
      </c>
      <c r="E18" s="69" t="s">
        <v>66</v>
      </c>
    </row>
    <row r="19" spans="2:7">
      <c r="B19" s="49" t="s">
        <v>146</v>
      </c>
      <c r="C19" s="65">
        <v>0.2</v>
      </c>
      <c r="D19" s="50" t="s">
        <v>116</v>
      </c>
      <c r="E19" s="66" t="s">
        <v>66</v>
      </c>
    </row>
    <row r="20" spans="2:7">
      <c r="B20" s="49" t="s">
        <v>147</v>
      </c>
      <c r="C20" s="65">
        <v>0.3</v>
      </c>
      <c r="D20" s="50" t="s">
        <v>40</v>
      </c>
      <c r="E20" s="66" t="s">
        <v>175</v>
      </c>
    </row>
    <row r="21" spans="2:7">
      <c r="B21" s="49" t="s">
        <v>148</v>
      </c>
      <c r="C21" s="65">
        <v>0.35</v>
      </c>
      <c r="D21" s="50" t="s">
        <v>67</v>
      </c>
      <c r="E21" s="66" t="s">
        <v>68</v>
      </c>
    </row>
    <row r="22" spans="2:7">
      <c r="B22" s="49" t="s">
        <v>149</v>
      </c>
      <c r="C22" s="65">
        <v>0.59</v>
      </c>
      <c r="D22" s="50" t="s">
        <v>181</v>
      </c>
      <c r="E22" s="66" t="s">
        <v>176</v>
      </c>
    </row>
    <row r="23" spans="2:7" ht="14.45" customHeight="1">
      <c r="B23" s="49" t="s">
        <v>150</v>
      </c>
      <c r="C23" s="65">
        <v>0.41</v>
      </c>
      <c r="D23" s="50" t="s">
        <v>38</v>
      </c>
      <c r="E23" s="66" t="s">
        <v>69</v>
      </c>
    </row>
    <row r="24" spans="2:7" ht="12.95" customHeight="1">
      <c r="B24" s="49" t="s">
        <v>151</v>
      </c>
      <c r="C24" s="65">
        <v>0.35</v>
      </c>
      <c r="D24" s="50" t="s">
        <v>29</v>
      </c>
      <c r="E24" s="66" t="s">
        <v>70</v>
      </c>
    </row>
    <row r="25" spans="2:7" ht="15" customHeight="1">
      <c r="B25" s="49" t="s">
        <v>152</v>
      </c>
      <c r="C25" s="65">
        <v>0.61</v>
      </c>
      <c r="D25" s="52" t="s">
        <v>117</v>
      </c>
      <c r="E25" s="66" t="s">
        <v>177</v>
      </c>
    </row>
    <row r="26" spans="2:7">
      <c r="B26" s="49" t="s">
        <v>153</v>
      </c>
      <c r="C26" s="65">
        <v>0.05</v>
      </c>
      <c r="D26" s="52" t="s">
        <v>34</v>
      </c>
      <c r="E26" s="66" t="s">
        <v>71</v>
      </c>
      <c r="G26" s="1"/>
    </row>
    <row r="27" spans="2:7">
      <c r="B27" s="49" t="s">
        <v>154</v>
      </c>
      <c r="C27" s="65">
        <v>0</v>
      </c>
      <c r="D27" s="50" t="s">
        <v>30</v>
      </c>
      <c r="E27" s="66" t="s">
        <v>71</v>
      </c>
      <c r="G27" s="1"/>
    </row>
    <row r="28" spans="2:7">
      <c r="B28" s="49" t="s">
        <v>155</v>
      </c>
      <c r="C28" s="65">
        <v>0.56999999999999995</v>
      </c>
      <c r="D28" s="52" t="s">
        <v>22</v>
      </c>
      <c r="E28" s="66" t="s">
        <v>72</v>
      </c>
      <c r="G28" s="1"/>
    </row>
    <row r="29" spans="2:7">
      <c r="B29" s="49" t="s">
        <v>156</v>
      </c>
      <c r="C29" s="65">
        <v>0.35</v>
      </c>
      <c r="D29" s="52" t="s">
        <v>24</v>
      </c>
      <c r="E29" s="66" t="s">
        <v>73</v>
      </c>
      <c r="G29" s="1"/>
    </row>
    <row r="30" spans="2:7">
      <c r="B30" s="49" t="s">
        <v>157</v>
      </c>
      <c r="C30" s="65">
        <v>0.61</v>
      </c>
      <c r="D30" s="52" t="s">
        <v>41</v>
      </c>
      <c r="E30" s="66" t="s">
        <v>74</v>
      </c>
      <c r="G30" s="1"/>
    </row>
    <row r="31" spans="2:7">
      <c r="B31" s="49" t="s">
        <v>158</v>
      </c>
      <c r="C31" s="65">
        <v>0.28999999999999998</v>
      </c>
      <c r="D31" s="52" t="s">
        <v>118</v>
      </c>
      <c r="E31" s="66">
        <v>20</v>
      </c>
      <c r="G31" s="1"/>
    </row>
    <row r="32" spans="2:7">
      <c r="B32" s="49" t="s">
        <v>159</v>
      </c>
      <c r="C32" s="65">
        <v>0.25</v>
      </c>
      <c r="D32" s="52" t="s">
        <v>35</v>
      </c>
      <c r="E32" s="66" t="s">
        <v>75</v>
      </c>
      <c r="G32" s="1"/>
    </row>
    <row r="33" spans="2:7">
      <c r="B33" s="49" t="s">
        <v>160</v>
      </c>
      <c r="C33" s="65">
        <v>0.4</v>
      </c>
      <c r="D33" s="52" t="s">
        <v>98</v>
      </c>
      <c r="E33" s="66" t="s">
        <v>76</v>
      </c>
      <c r="G33" s="1"/>
    </row>
    <row r="34" spans="2:7">
      <c r="B34" s="49" t="s">
        <v>161</v>
      </c>
      <c r="C34" s="65">
        <v>0.45</v>
      </c>
      <c r="D34" s="52" t="s">
        <v>23</v>
      </c>
      <c r="E34" s="66" t="s">
        <v>77</v>
      </c>
    </row>
    <row r="35" spans="2:7">
      <c r="B35" s="49" t="s">
        <v>162</v>
      </c>
      <c r="C35" s="65">
        <v>0.3</v>
      </c>
      <c r="D35" s="52" t="s">
        <v>119</v>
      </c>
      <c r="E35" s="66" t="s">
        <v>122</v>
      </c>
    </row>
    <row r="36" spans="2:7">
      <c r="B36" s="49" t="s">
        <v>163</v>
      </c>
      <c r="C36" s="65">
        <v>0.5</v>
      </c>
      <c r="D36" s="52" t="s">
        <v>120</v>
      </c>
      <c r="E36" s="66" t="s">
        <v>123</v>
      </c>
    </row>
    <row r="37" spans="2:7">
      <c r="B37" s="49" t="s">
        <v>164</v>
      </c>
      <c r="C37" s="65">
        <v>0.6</v>
      </c>
      <c r="D37" s="52" t="s">
        <v>37</v>
      </c>
      <c r="E37" s="66">
        <v>25114</v>
      </c>
    </row>
    <row r="38" spans="2:7">
      <c r="B38" s="49" t="s">
        <v>165</v>
      </c>
      <c r="C38" s="65">
        <v>0.15</v>
      </c>
      <c r="D38" s="52" t="s">
        <v>182</v>
      </c>
      <c r="E38" s="66" t="s">
        <v>78</v>
      </c>
    </row>
    <row r="39" spans="2:7" ht="13.5" customHeight="1">
      <c r="B39" s="49" t="s">
        <v>166</v>
      </c>
      <c r="C39" s="65">
        <v>0.3</v>
      </c>
      <c r="D39" s="52" t="s">
        <v>99</v>
      </c>
      <c r="E39" s="66" t="s">
        <v>100</v>
      </c>
    </row>
    <row r="40" spans="2:7">
      <c r="B40" s="49" t="s">
        <v>167</v>
      </c>
      <c r="C40" s="65">
        <v>0.7</v>
      </c>
      <c r="D40" s="52" t="s">
        <v>36</v>
      </c>
      <c r="E40" s="66" t="s">
        <v>79</v>
      </c>
    </row>
    <row r="41" spans="2:7">
      <c r="B41" s="49" t="s">
        <v>168</v>
      </c>
      <c r="C41" s="65">
        <v>0.05</v>
      </c>
      <c r="D41" s="52" t="s">
        <v>31</v>
      </c>
      <c r="E41" s="66" t="s">
        <v>80</v>
      </c>
    </row>
    <row r="42" spans="2:7">
      <c r="B42" s="49" t="s">
        <v>169</v>
      </c>
      <c r="C42" s="65">
        <v>0</v>
      </c>
      <c r="D42" s="50" t="s">
        <v>32</v>
      </c>
      <c r="E42" s="66" t="s">
        <v>71</v>
      </c>
    </row>
    <row r="44" spans="2:7">
      <c r="B44" s="16"/>
      <c r="E44" s="17"/>
    </row>
  </sheetData>
  <sheetProtection algorithmName="SHA-512" hashValue="IOjH50zh9OuhWAvPiwxD+9Txq4Pb/BJNhihM61Na5nY/fbGIVE90zuQbVlhyoka/mUcGwCG0RWkJGB8HkdDOoQ==" saltValue="x/UxRPAVFuTI6FFoPT2rbw==" spinCount="100000" sheet="1" objects="1" scenarios="1"/>
  <pageMargins left="0.25" right="0.25" top="0.75" bottom="0.75" header="0.3" footer="0.3"/>
  <pageSetup paperSize="8" orientation="landscape" r:id="rId1"/>
  <headerFooter>
    <oddHeader>&amp;C&amp;"Times New Roman,Regular"&amp;12&amp;KFFCC00Confidential - مقيّد</oddHeader>
    <evenHeader>&amp;C&amp;"Times New Roman,Regular"&amp;12&amp;KFFCC00Confidential - مقيّد</evenHeader>
    <firstHeader>&amp;C&amp;"Times New Roman,Regular"&amp;12&amp;KFFCC00Confidential - مقيّد</first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Category xmlns="e8929bd0-5c66-4f49-9b02-f60c96f517a4">8</Category>
    <PublishingStartDate xmlns="http://schemas.microsoft.com/sharepoint/v3" xsi:nil="true"/>
    <PublishingExpirationDate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sisl xmlns:xsd="http://www.w3.org/2001/XMLSchema" xmlns:xsi="http://www.w3.org/2001/XMLSchema-instance" xmlns="http://www.boldonjames.com/2008/01/sie/internal/label" sislVersion="0" policy="1472662e-cd8d-4c76-8522-3a324fe1f54e" origin="userSelected">
  <element uid="c2c9ae71-cbcf-429f-b25d-9bcd65dc36b6" value=""/>
</sisl>
</file>

<file path=customXml/item5.xml><?xml version="1.0" encoding="utf-8"?>
<ct:contentTypeSchema xmlns:ct="http://schemas.microsoft.com/office/2006/metadata/contentType" xmlns:ma="http://schemas.microsoft.com/office/2006/metadata/properties/metaAttributes" ct:_="" ma:_="" ma:contentTypeName="Document" ma:contentTypeID="0x010100B7008BC8C3CEFE48BB06D62C49977577" ma:contentTypeVersion="2" ma:contentTypeDescription="Create a new document." ma:contentTypeScope="" ma:versionID="6189325c0194b7e784f15ab9fb0add3e">
  <xsd:schema xmlns:xsd="http://www.w3.org/2001/XMLSchema" xmlns:xs="http://www.w3.org/2001/XMLSchema" xmlns:p="http://schemas.microsoft.com/office/2006/metadata/properties" xmlns:ns1="http://schemas.microsoft.com/sharepoint/v3" xmlns:ns2="e8929bd0-5c66-4f49-9b02-f60c96f517a4" targetNamespace="http://schemas.microsoft.com/office/2006/metadata/properties" ma:root="true" ma:fieldsID="43e10f68a4370577069a7eb2890c4fe9" ns1:_="" ns2:_="">
    <xsd:import namespace="http://schemas.microsoft.com/sharepoint/v3"/>
    <xsd:import namespace="e8929bd0-5c66-4f49-9b02-f60c96f517a4"/>
    <xsd:element name="properties">
      <xsd:complexType>
        <xsd:sequence>
          <xsd:element name="documentManagement">
            <xsd:complexType>
              <xsd:all>
                <xsd:element ref="ns1:PublishingStartDate" minOccurs="0"/>
                <xsd:element ref="ns1:PublishingExpirationDate"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29bd0-5c66-4f49-9b02-f60c96f517a4" elementFormDefault="qualified">
    <xsd:import namespace="http://schemas.microsoft.com/office/2006/documentManagement/types"/>
    <xsd:import namespace="http://schemas.microsoft.com/office/infopath/2007/PartnerControls"/>
    <xsd:element name="Category" ma:index="10" nillable="true" ma:displayName="Category" ma:list="{61c6678f-393e-4e39-9ad5-312d9cbf130e}" ma:internalName="Category"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F6D7BAA-0911-462E-97DF-C78EC41DABA2}">
  <ds:schemaRefs>
    <ds:schemaRef ds:uri="http://schemas.microsoft.com/DataMashup"/>
  </ds:schemaRefs>
</ds:datastoreItem>
</file>

<file path=customXml/itemProps2.xml><?xml version="1.0" encoding="utf-8"?>
<ds:datastoreItem xmlns:ds="http://schemas.openxmlformats.org/officeDocument/2006/customXml" ds:itemID="{0EFF31A3-47D7-4F99-BE71-1131281753BD}">
  <ds:schemaRefs>
    <ds:schemaRef ds:uri="http://schemas.microsoft.com/office/2006/documentManagement/types"/>
    <ds:schemaRef ds:uri="http://purl.org/dc/elements/1.1/"/>
    <ds:schemaRef ds:uri="http://purl.org/dc/dcmitype/"/>
    <ds:schemaRef ds:uri="http://schemas.microsoft.com/office/2006/metadata/properties"/>
    <ds:schemaRef ds:uri="e8929bd0-5c66-4f49-9b02-f60c96f517a4"/>
    <ds:schemaRef ds:uri="http://schemas.openxmlformats.org/package/2006/metadata/core-properties"/>
    <ds:schemaRef ds:uri="http://www.w3.org/XML/1998/namespace"/>
    <ds:schemaRef ds:uri="http://purl.org/dc/term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0292673-834A-405A-98E8-ACBACC8A0512}">
  <ds:schemaRefs>
    <ds:schemaRef ds:uri="http://schemas.microsoft.com/sharepoint/v3/contenttype/forms"/>
  </ds:schemaRefs>
</ds:datastoreItem>
</file>

<file path=customXml/itemProps4.xml><?xml version="1.0" encoding="utf-8"?>
<ds:datastoreItem xmlns:ds="http://schemas.openxmlformats.org/officeDocument/2006/customXml" ds:itemID="{B1812B1A-16A7-449F-8A26-64E96A4C7CD5}">
  <ds:schemaRefs>
    <ds:schemaRef ds:uri="http://www.w3.org/2001/XMLSchema"/>
    <ds:schemaRef ds:uri="http://www.boldonjames.com/2008/01/sie/internal/label"/>
  </ds:schemaRefs>
</ds:datastoreItem>
</file>

<file path=customXml/itemProps5.xml><?xml version="1.0" encoding="utf-8"?>
<ds:datastoreItem xmlns:ds="http://schemas.openxmlformats.org/officeDocument/2006/customXml" ds:itemID="{5895DA89-5CD2-4718-96B6-28450D31B3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8929bd0-5c66-4f49-9b02-f60c96f51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Section 1. General Information</vt:lpstr>
      <vt:lpstr>Section 2. Evaluation</vt:lpstr>
      <vt:lpstr>Section 3. Labor</vt:lpstr>
      <vt:lpstr>Section 4. Goods and Services</vt:lpstr>
      <vt:lpstr>Section 5. Capacity Building</vt:lpstr>
      <vt:lpstr>Section 6. Depreciation &amp; Amor.</vt:lpstr>
      <vt:lpstr>Appendix A</vt:lpstr>
    </vt:vector>
  </TitlesOfParts>
  <Company>The Boston Consulting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Periodic or Final Report Template (at Contract Level) - v.1</dc:title>
  <dc:creator>Rakan Alasim</dc:creator>
  <cp:lastModifiedBy>Mohammad Alogiely</cp:lastModifiedBy>
  <cp:lastPrinted>2018-12-27T11:16:56Z</cp:lastPrinted>
  <dcterms:created xsi:type="dcterms:W3CDTF">2017-06-19T08:29:53Z</dcterms:created>
  <dcterms:modified xsi:type="dcterms:W3CDTF">2026-02-27T17:25:03Z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docIndexRef">
    <vt:lpwstr>14b66c27-3a58-49de-a7bb-e3418dcfbce6</vt:lpwstr>
  </property>
  <property fmtid="{D5CDD505-2E9C-101B-9397-08002B2CF9AE}" pid="4" name="bjSaver">
    <vt:lpwstr>uOMm0A6D+JmD1V/lD3PE3U8A7q5vgfmI</vt:lpwstr>
  </property>
  <property fmtid="{D5CDD505-2E9C-101B-9397-08002B2CF9AE}" pid="5" name="bjDocumentLabelXML">
    <vt:lpwstr>&lt;?xml version="1.0" encoding="us-ascii"?&gt;&lt;sisl xmlns:xsd="http://www.w3.org/2001/XMLSchema" xmlns:xsi="http://www.w3.org/2001/XMLSchema-instance" sislVersion="0" policy="1472662e-cd8d-4c76-8522-3a324fe1f54e" origin="userSelected" xmlns="http://www.boldonj</vt:lpwstr>
  </property>
  <property fmtid="{D5CDD505-2E9C-101B-9397-08002B2CF9AE}" pid="6" name="bjDocumentLabelXML-0">
    <vt:lpwstr>ames.com/2008/01/sie/internal/label"&gt;&lt;element uid="c2c9ae71-cbcf-429f-b25d-9bcd65dc36b6" value="" /&gt;&lt;/sisl&gt;</vt:lpwstr>
  </property>
  <property fmtid="{D5CDD505-2E9C-101B-9397-08002B2CF9AE}" pid="7" name="bjDocumentSecurityLabel">
    <vt:lpwstr>Your Marking Format here</vt:lpwstr>
  </property>
  <property fmtid="{D5CDD505-2E9C-101B-9397-08002B2CF9AE}" pid="8" name="bjClsUserRVM">
    <vt:lpwstr>[]</vt:lpwstr>
  </property>
  <property fmtid="{D5CDD505-2E9C-101B-9397-08002B2CF9AE}" pid="9" name="bjCentreHeaderLabel-first">
    <vt:lpwstr>&amp;"Times New Roman,Regular"&amp;12&amp;KFFCC00Confidential - مقيّد</vt:lpwstr>
  </property>
  <property fmtid="{D5CDD505-2E9C-101B-9397-08002B2CF9AE}" pid="10" name="bjCentreHeaderLabel-even">
    <vt:lpwstr>&amp;"Times New Roman,Regular"&amp;12&amp;KFFCC00Confidential - مقيّد</vt:lpwstr>
  </property>
  <property fmtid="{D5CDD505-2E9C-101B-9397-08002B2CF9AE}" pid="11" name="bjCentreHeaderLabel">
    <vt:lpwstr>&amp;"Times New Roman,Regular"&amp;12&amp;KFFCC00Confidential - مقيّد</vt:lpwstr>
  </property>
  <property fmtid="{D5CDD505-2E9C-101B-9397-08002B2CF9AE}" pid="12" name="ContentTypeId">
    <vt:lpwstr>0x010100B7008BC8C3CEFE48BB06D62C49977577</vt:lpwstr>
  </property>
</Properties>
</file>