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C:\Users\malogiely\Desktop\LC Audit Analysis\Work Files\تطوير مراجعة المحتوى المحلي\قياس المحتوى المحلي\2025\النماذج المرقمة\النماذج المرقمة - 27 فبراير 2026 - V2\الانجليزي\"/>
    </mc:Choice>
  </mc:AlternateContent>
  <xr:revisionPtr revIDLastSave="0" documentId="13_ncr:1_{556A737E-BDCE-490E-8F65-BD4CB223CB50}" xr6:coauthVersionLast="47" xr6:coauthVersionMax="47" xr10:uidLastSave="{00000000-0000-0000-0000-000000000000}"/>
  <bookViews>
    <workbookView xWindow="-120" yWindow="-120" windowWidth="29040" windowHeight="15720" tabRatio="897" xr2:uid="{00000000-000D-0000-FFFF-FFFF00000000}"/>
  </bookViews>
  <sheets>
    <sheet name="Overview" sheetId="1" r:id="rId1"/>
    <sheet name="Section 1. General Information" sheetId="2" r:id="rId2"/>
    <sheet name="Section 2. Evaluation" sheetId="3" r:id="rId3"/>
    <sheet name="Section 3. Labor" sheetId="4" r:id="rId4"/>
    <sheet name="Section 4. Goods and Services" sheetId="5" r:id="rId5"/>
    <sheet name="Section 4.1 Extra Disclosure" sheetId="16" r:id="rId6"/>
    <sheet name="Section 5. CAPEX" sheetId="14" r:id="rId7"/>
    <sheet name="Section 6. Capacity Building" sheetId="6" r:id="rId8"/>
    <sheet name="Section 7. Depreciation &amp; Amor." sheetId="17" r:id="rId9"/>
    <sheet name="Appendix A" sheetId="10" r:id="rId10"/>
    <sheet name="Appendix B" sheetId="8" r:id="rId11"/>
  </sheets>
  <definedNames>
    <definedName name="Above400M" localSheetId="9">#REF!</definedName>
    <definedName name="Above400M" localSheetId="6">#REF!</definedName>
    <definedName name="Above400M">#REF!</definedName>
    <definedName name="Baseline" localSheetId="9">#REF!</definedName>
    <definedName name="Baseline">#REF!</definedName>
    <definedName name="Below400M" localSheetId="9">#REF!</definedName>
    <definedName name="Contract" localSheetId="9">#REF!</definedName>
    <definedName name="Contract">#REF!</definedName>
    <definedName name="Distributor" localSheetId="9">#REF!</definedName>
    <definedName name="Distributor">#REF!</definedName>
    <definedName name="Entity" localSheetId="9">#REF!</definedName>
    <definedName name="Entity">#REF!</definedName>
    <definedName name="Final" localSheetId="9">#REF!</definedName>
    <definedName name="Final">#REF!</definedName>
    <definedName name="Foreign" localSheetId="9">#REF!</definedName>
    <definedName name="Goods">'Appendix B'!$A$25:$B$25</definedName>
    <definedName name="Level" localSheetId="9">#REF!</definedName>
    <definedName name="Level">#REF!</definedName>
    <definedName name="LevelSelection" localSheetId="9">#REF!</definedName>
    <definedName name="LevelSelection">#REF!</definedName>
    <definedName name="ListTypes" localSheetId="9">#REF!</definedName>
    <definedName name="ListTypes">#REF!</definedName>
    <definedName name="NoContract" localSheetId="9">#REF!</definedName>
    <definedName name="NoContract">#REF!</definedName>
    <definedName name="Other" localSheetId="9">#REF!</definedName>
    <definedName name="Other">#REF!</definedName>
    <definedName name="Periodic" localSheetId="9">#REF!</definedName>
    <definedName name="Periodic">#REF!</definedName>
    <definedName name="Producer" localSheetId="9">#REF!</definedName>
    <definedName name="Producer">#REF!</definedName>
    <definedName name="Product" localSheetId="9">#REF!</definedName>
    <definedName name="Product">#REF!</definedName>
    <definedName name="Provider" localSheetId="9">#REF!</definedName>
    <definedName name="Provider">#REF!</definedName>
    <definedName name="Purpose" localSheetId="9">#REF!</definedName>
    <definedName name="Purpose">#REF!</definedName>
    <definedName name="PurposeSelection" localSheetId="9">#REF!</definedName>
    <definedName name="PurposeSelection">#REF!</definedName>
    <definedName name="ScenarioLabelIDs" localSheetId="9">#REF!</definedName>
    <definedName name="ScenarioLabelIDs">#REF!</definedName>
    <definedName name="ScenarioLabels" localSheetId="9">#REF!</definedName>
    <definedName name="ScenarioLabels">#REF!</definedName>
    <definedName name="Services">'Appendix B'!$A$5:$B$5</definedName>
    <definedName name="Supplementary" localSheetId="9">#REF!</definedName>
    <definedName name="Supplementary">#REF!</definedName>
    <definedName name="Supplier" localSheetId="9">#REF!</definedName>
    <definedName name="Supplier">#REF!</definedName>
    <definedName name="SupplierTypes" localSheetId="9">#REF!</definedName>
    <definedName name="SupplierTypes">#REF!</definedName>
    <definedName name="Target" localSheetId="9">#REF!</definedName>
    <definedName name="Target">#REF!</definedName>
    <definedName name="Value" localSheetId="9">#REF!</definedName>
    <definedName name="Value" localSheetId="6">#REF!</definedName>
    <definedName name="Value">#REF!</definedName>
    <definedName name="ValueSelection" localSheetId="9">#REF!</definedName>
    <definedName name="ValueSelection">#REF!</definedName>
  </definedNames>
  <calcPr calcId="191029"/>
  <customWorkbookViews>
    <customWorkbookView name="Hasan Alsuhebany - Personal View" guid="{475135EF-B9F1-482D-ABF1-1E525C0245D4}" mergeInterval="0" personalView="1" maximized="1" xWindow="-11" yWindow="-11" windowWidth="1942" windowHeight="1042" tabRatio="897"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9" i="5" l="1"/>
  <c r="O91" i="14"/>
  <c r="N92" i="14" l="1"/>
  <c r="N91" i="14"/>
  <c r="E29" i="17" l="1"/>
  <c r="M95" i="14"/>
  <c r="F47" i="10" l="1"/>
  <c r="C19" i="3" s="1"/>
  <c r="F15" i="10" l="1"/>
  <c r="F28" i="17" l="1"/>
  <c r="F27" i="17"/>
  <c r="F26" i="17"/>
  <c r="F25" i="17"/>
  <c r="F24" i="17"/>
  <c r="F23" i="17"/>
  <c r="F22" i="17"/>
  <c r="F21" i="17"/>
  <c r="F20" i="17"/>
  <c r="F19" i="17"/>
  <c r="F18" i="17"/>
  <c r="F17" i="17"/>
  <c r="A28" i="17"/>
  <c r="F16" i="17"/>
  <c r="D29" i="17"/>
  <c r="F14" i="10" s="1"/>
  <c r="A17" i="17"/>
  <c r="A18" i="17" s="1"/>
  <c r="A19" i="17" s="1"/>
  <c r="A20" i="17" s="1"/>
  <c r="A21" i="17" s="1"/>
  <c r="A22" i="17" s="1"/>
  <c r="A23" i="17" s="1"/>
  <c r="A24" i="17" s="1"/>
  <c r="A25" i="17" s="1"/>
  <c r="A26" i="17" s="1"/>
  <c r="A27" i="17" s="1"/>
  <c r="C6" i="17"/>
  <c r="C5" i="17"/>
  <c r="C4" i="17"/>
  <c r="C3" i="17"/>
  <c r="F29" i="17" l="1"/>
  <c r="C10" i="17" s="1"/>
  <c r="M93" i="14"/>
  <c r="D5" i="14"/>
  <c r="F7" i="16"/>
  <c r="C10" i="3" l="1"/>
  <c r="C11" i="17"/>
  <c r="K49" i="16"/>
  <c r="L49" i="16" s="1"/>
  <c r="K50" i="16"/>
  <c r="L50" i="16" s="1"/>
  <c r="E17" i="4"/>
  <c r="E16" i="4"/>
  <c r="D18" i="4"/>
  <c r="C18" i="4"/>
  <c r="E18" i="4" l="1"/>
  <c r="K48" i="16"/>
  <c r="L48" i="16" s="1"/>
  <c r="K47" i="16"/>
  <c r="L47" i="16" s="1"/>
  <c r="K46" i="16"/>
  <c r="L46" i="16" s="1"/>
  <c r="K45" i="16"/>
  <c r="L45" i="16" s="1"/>
  <c r="K44" i="16"/>
  <c r="L44" i="16" s="1"/>
  <c r="K43" i="16"/>
  <c r="L43" i="16" s="1"/>
  <c r="K42" i="16"/>
  <c r="L42" i="16" s="1"/>
  <c r="K41" i="16"/>
  <c r="L41" i="16" s="1"/>
  <c r="K40" i="16"/>
  <c r="L40" i="16" s="1"/>
  <c r="K39" i="16"/>
  <c r="L39" i="16" s="1"/>
  <c r="K38" i="16"/>
  <c r="L38" i="16" s="1"/>
  <c r="K37" i="16"/>
  <c r="L37" i="16" s="1"/>
  <c r="K36" i="16"/>
  <c r="L36" i="16" s="1"/>
  <c r="K35" i="16"/>
  <c r="L35" i="16" s="1"/>
  <c r="K34" i="16"/>
  <c r="L34" i="16" s="1"/>
  <c r="K33" i="16"/>
  <c r="L33" i="16" s="1"/>
  <c r="K32" i="16"/>
  <c r="L32" i="16" s="1"/>
  <c r="K31" i="16"/>
  <c r="L31" i="16" s="1"/>
  <c r="K30" i="16"/>
  <c r="L30" i="16" s="1"/>
  <c r="K29" i="16"/>
  <c r="L29" i="16" s="1"/>
  <c r="K28" i="16"/>
  <c r="L28" i="16" s="1"/>
  <c r="K27" i="16"/>
  <c r="L27" i="16" s="1"/>
  <c r="K26" i="16"/>
  <c r="L26" i="16" s="1"/>
  <c r="K25" i="16"/>
  <c r="L25" i="16" s="1"/>
  <c r="K24" i="16"/>
  <c r="L24" i="16" s="1"/>
  <c r="K23" i="16"/>
  <c r="L23" i="16" s="1"/>
  <c r="K22" i="16"/>
  <c r="L22" i="16" s="1"/>
  <c r="K21" i="16"/>
  <c r="L21" i="16" s="1"/>
  <c r="K20" i="16"/>
  <c r="L20" i="16" s="1"/>
  <c r="K19" i="16"/>
  <c r="L19" i="16" s="1"/>
  <c r="K18" i="16"/>
  <c r="L18" i="16" s="1"/>
  <c r="K17" i="16"/>
  <c r="L17" i="16" s="1"/>
  <c r="K16" i="16"/>
  <c r="L16" i="16" s="1"/>
  <c r="K15" i="16"/>
  <c r="L15" i="16" s="1"/>
  <c r="K14" i="16"/>
  <c r="L14" i="16" s="1"/>
  <c r="K13" i="16"/>
  <c r="L13" i="16" s="1"/>
  <c r="K12" i="16"/>
  <c r="L12" i="16" s="1"/>
  <c r="A12" i="16"/>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K11" i="16"/>
  <c r="L11" i="16" s="1"/>
  <c r="A50" i="16" l="1"/>
  <c r="K12" i="14" l="1"/>
  <c r="K13" i="14"/>
  <c r="K14" i="14"/>
  <c r="K15"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41" i="14"/>
  <c r="K42" i="14"/>
  <c r="K43" i="14"/>
  <c r="K44" i="14"/>
  <c r="K45" i="14"/>
  <c r="K46" i="14"/>
  <c r="K47" i="14"/>
  <c r="K48" i="14"/>
  <c r="K49" i="14"/>
  <c r="K50" i="14"/>
  <c r="K51" i="14"/>
  <c r="K52" i="14"/>
  <c r="K53" i="14"/>
  <c r="K54" i="14"/>
  <c r="K55" i="14"/>
  <c r="K56" i="14"/>
  <c r="K57" i="14"/>
  <c r="K58" i="14"/>
  <c r="K59" i="14"/>
  <c r="K60" i="14"/>
  <c r="K61" i="14"/>
  <c r="K62" i="14"/>
  <c r="K63" i="14"/>
  <c r="K64" i="14"/>
  <c r="K65" i="14"/>
  <c r="K66" i="14"/>
  <c r="K67" i="14"/>
  <c r="K68" i="14"/>
  <c r="K69" i="14"/>
  <c r="K70" i="14"/>
  <c r="K71" i="14"/>
  <c r="K72" i="14"/>
  <c r="K73" i="14"/>
  <c r="K74" i="14"/>
  <c r="K75" i="14"/>
  <c r="K76" i="14"/>
  <c r="K77" i="14"/>
  <c r="K78" i="14"/>
  <c r="K79" i="14"/>
  <c r="K80" i="14"/>
  <c r="K81" i="14"/>
  <c r="K82" i="14"/>
  <c r="K83" i="14"/>
  <c r="K84" i="14"/>
  <c r="K85" i="14"/>
  <c r="K86" i="14"/>
  <c r="K87" i="14"/>
  <c r="K88" i="14"/>
  <c r="K89" i="14"/>
  <c r="K90" i="14"/>
  <c r="K11" i="14"/>
  <c r="M94" i="14" l="1"/>
  <c r="L90" i="14"/>
  <c r="N90" i="14" s="1"/>
  <c r="L89" i="14"/>
  <c r="N89" i="14" s="1"/>
  <c r="L88" i="14"/>
  <c r="N88" i="14" s="1"/>
  <c r="L87" i="14"/>
  <c r="N87" i="14" s="1"/>
  <c r="L86" i="14"/>
  <c r="N86" i="14" s="1"/>
  <c r="L85" i="14"/>
  <c r="N85" i="14" s="1"/>
  <c r="L84" i="14"/>
  <c r="N84" i="14" s="1"/>
  <c r="L83" i="14"/>
  <c r="N83" i="14" s="1"/>
  <c r="L82" i="14"/>
  <c r="N82" i="14" s="1"/>
  <c r="L81" i="14"/>
  <c r="N81" i="14" s="1"/>
  <c r="L80" i="14"/>
  <c r="N80" i="14" s="1"/>
  <c r="L79" i="14"/>
  <c r="N79" i="14" s="1"/>
  <c r="L78" i="14"/>
  <c r="N78" i="14" s="1"/>
  <c r="L77" i="14"/>
  <c r="N77" i="14" s="1"/>
  <c r="L76" i="14"/>
  <c r="N76" i="14" s="1"/>
  <c r="L75" i="14"/>
  <c r="N75" i="14" s="1"/>
  <c r="L74" i="14"/>
  <c r="N74" i="14" s="1"/>
  <c r="L73" i="14"/>
  <c r="N73" i="14" s="1"/>
  <c r="L72" i="14"/>
  <c r="N72" i="14" s="1"/>
  <c r="L71" i="14"/>
  <c r="N71" i="14" s="1"/>
  <c r="L70" i="14"/>
  <c r="N70" i="14" s="1"/>
  <c r="L69" i="14"/>
  <c r="N69" i="14" s="1"/>
  <c r="L68" i="14"/>
  <c r="N68" i="14" s="1"/>
  <c r="L67" i="14"/>
  <c r="N67" i="14" s="1"/>
  <c r="L66" i="14"/>
  <c r="N66" i="14" s="1"/>
  <c r="L65" i="14"/>
  <c r="N65" i="14" s="1"/>
  <c r="L64" i="14"/>
  <c r="N64" i="14" s="1"/>
  <c r="L63" i="14"/>
  <c r="N63" i="14" s="1"/>
  <c r="L62" i="14"/>
  <c r="N62" i="14" s="1"/>
  <c r="L61" i="14"/>
  <c r="N61" i="14" s="1"/>
  <c r="L60" i="14"/>
  <c r="N60" i="14" s="1"/>
  <c r="L59" i="14"/>
  <c r="N59" i="14" s="1"/>
  <c r="L58" i="14"/>
  <c r="N58" i="14" s="1"/>
  <c r="L57" i="14"/>
  <c r="N57" i="14" s="1"/>
  <c r="L56" i="14"/>
  <c r="N56" i="14" s="1"/>
  <c r="L55" i="14"/>
  <c r="N55" i="14" s="1"/>
  <c r="L54" i="14"/>
  <c r="N54" i="14" s="1"/>
  <c r="L53" i="14"/>
  <c r="N53" i="14" s="1"/>
  <c r="L52" i="14"/>
  <c r="N52" i="14" s="1"/>
  <c r="L51" i="14"/>
  <c r="N51" i="14" s="1"/>
  <c r="L50" i="14"/>
  <c r="N50" i="14" s="1"/>
  <c r="L49" i="14"/>
  <c r="N49" i="14" s="1"/>
  <c r="L48" i="14"/>
  <c r="N48" i="14" s="1"/>
  <c r="L47" i="14"/>
  <c r="N47" i="14" s="1"/>
  <c r="L46" i="14"/>
  <c r="N46" i="14" s="1"/>
  <c r="L45" i="14"/>
  <c r="N45" i="14" s="1"/>
  <c r="L44" i="14"/>
  <c r="N44" i="14" s="1"/>
  <c r="L43" i="14"/>
  <c r="N43" i="14" s="1"/>
  <c r="L42" i="14"/>
  <c r="N42" i="14" s="1"/>
  <c r="L41" i="14"/>
  <c r="N41" i="14" s="1"/>
  <c r="L40" i="14"/>
  <c r="N40" i="14" s="1"/>
  <c r="L39" i="14"/>
  <c r="N39" i="14" s="1"/>
  <c r="L38" i="14"/>
  <c r="N38" i="14" s="1"/>
  <c r="L37" i="14"/>
  <c r="N37" i="14" s="1"/>
  <c r="L36" i="14"/>
  <c r="N36" i="14" s="1"/>
  <c r="L35" i="14"/>
  <c r="N35" i="14" s="1"/>
  <c r="L34" i="14"/>
  <c r="N34" i="14" s="1"/>
  <c r="L33" i="14"/>
  <c r="N33" i="14" s="1"/>
  <c r="L32" i="14"/>
  <c r="N32" i="14" s="1"/>
  <c r="L31" i="14"/>
  <c r="N31" i="14" s="1"/>
  <c r="L30" i="14"/>
  <c r="N30" i="14" s="1"/>
  <c r="L29" i="14"/>
  <c r="N29" i="14" s="1"/>
  <c r="L28" i="14"/>
  <c r="N28" i="14" s="1"/>
  <c r="L27" i="14"/>
  <c r="N27" i="14" s="1"/>
  <c r="L26" i="14"/>
  <c r="N26" i="14" s="1"/>
  <c r="L25" i="14"/>
  <c r="N25" i="14" s="1"/>
  <c r="L24" i="14"/>
  <c r="N24" i="14" s="1"/>
  <c r="L23" i="14"/>
  <c r="N23" i="14" s="1"/>
  <c r="L22" i="14"/>
  <c r="N22" i="14" s="1"/>
  <c r="L21" i="14"/>
  <c r="N21" i="14" s="1"/>
  <c r="L20" i="14"/>
  <c r="N20" i="14" s="1"/>
  <c r="L19" i="14"/>
  <c r="N19" i="14" s="1"/>
  <c r="L18" i="14"/>
  <c r="N18" i="14" s="1"/>
  <c r="L17" i="14"/>
  <c r="N17" i="14" s="1"/>
  <c r="L16" i="14"/>
  <c r="N16" i="14" s="1"/>
  <c r="L15" i="14"/>
  <c r="L14" i="14"/>
  <c r="N14" i="14" s="1"/>
  <c r="L13" i="14"/>
  <c r="N13" i="14" s="1"/>
  <c r="L12" i="14"/>
  <c r="N12" i="14" s="1"/>
  <c r="L11" i="14"/>
  <c r="L93" i="5"/>
  <c r="M93" i="5" s="1"/>
  <c r="O93" i="5" s="1"/>
  <c r="L92" i="5"/>
  <c r="M92" i="5" s="1"/>
  <c r="O92" i="5" s="1"/>
  <c r="L91" i="5"/>
  <c r="M91" i="5" s="1"/>
  <c r="O91" i="5" s="1"/>
  <c r="L90" i="5"/>
  <c r="M90" i="5" s="1"/>
  <c r="O90" i="5" s="1"/>
  <c r="L89" i="5"/>
  <c r="M89" i="5" s="1"/>
  <c r="O89" i="5" s="1"/>
  <c r="L88" i="5"/>
  <c r="M88" i="5" s="1"/>
  <c r="O88" i="5" s="1"/>
  <c r="L87" i="5"/>
  <c r="M87" i="5" s="1"/>
  <c r="O87" i="5" s="1"/>
  <c r="L86" i="5"/>
  <c r="M86" i="5" s="1"/>
  <c r="O86" i="5" s="1"/>
  <c r="L85" i="5"/>
  <c r="M85" i="5" s="1"/>
  <c r="O85" i="5" s="1"/>
  <c r="L84" i="5"/>
  <c r="M84" i="5" s="1"/>
  <c r="O84" i="5" s="1"/>
  <c r="L83" i="5"/>
  <c r="M83" i="5" s="1"/>
  <c r="O83" i="5" s="1"/>
  <c r="L82" i="5"/>
  <c r="M82" i="5" s="1"/>
  <c r="O82" i="5" s="1"/>
  <c r="L81" i="5"/>
  <c r="M81" i="5" s="1"/>
  <c r="O81" i="5" s="1"/>
  <c r="L80" i="5"/>
  <c r="M80" i="5" s="1"/>
  <c r="O80" i="5" s="1"/>
  <c r="L79" i="5"/>
  <c r="M79" i="5" s="1"/>
  <c r="O79" i="5" s="1"/>
  <c r="L78" i="5"/>
  <c r="M78" i="5" s="1"/>
  <c r="O78" i="5" s="1"/>
  <c r="L77" i="5"/>
  <c r="M77" i="5" s="1"/>
  <c r="O77" i="5" s="1"/>
  <c r="L76" i="5"/>
  <c r="M76" i="5" s="1"/>
  <c r="O76" i="5" s="1"/>
  <c r="L75" i="5"/>
  <c r="M75" i="5" s="1"/>
  <c r="O75" i="5" s="1"/>
  <c r="L74" i="5"/>
  <c r="M74" i="5" s="1"/>
  <c r="O74" i="5" s="1"/>
  <c r="L73" i="5"/>
  <c r="M73" i="5" s="1"/>
  <c r="O73" i="5" s="1"/>
  <c r="L72" i="5"/>
  <c r="M72" i="5" s="1"/>
  <c r="O72" i="5" s="1"/>
  <c r="L71" i="5"/>
  <c r="M71" i="5" s="1"/>
  <c r="O71" i="5" s="1"/>
  <c r="L70" i="5"/>
  <c r="M70" i="5" s="1"/>
  <c r="O70" i="5" s="1"/>
  <c r="L69" i="5"/>
  <c r="M69" i="5" s="1"/>
  <c r="O69" i="5" s="1"/>
  <c r="L68" i="5"/>
  <c r="M68" i="5" s="1"/>
  <c r="O68" i="5" s="1"/>
  <c r="L67" i="5"/>
  <c r="M67" i="5" s="1"/>
  <c r="O67" i="5" s="1"/>
  <c r="L66" i="5"/>
  <c r="M66" i="5" s="1"/>
  <c r="O66" i="5" s="1"/>
  <c r="L65" i="5"/>
  <c r="M65" i="5" s="1"/>
  <c r="O65" i="5" s="1"/>
  <c r="L64" i="5"/>
  <c r="M64" i="5" s="1"/>
  <c r="O64" i="5" s="1"/>
  <c r="L63" i="5"/>
  <c r="M63" i="5" s="1"/>
  <c r="O63" i="5" s="1"/>
  <c r="L62" i="5"/>
  <c r="M62" i="5" s="1"/>
  <c r="O62" i="5" s="1"/>
  <c r="L61" i="5"/>
  <c r="M61" i="5" s="1"/>
  <c r="O61" i="5" s="1"/>
  <c r="L60" i="5"/>
  <c r="M60" i="5" s="1"/>
  <c r="O60" i="5" s="1"/>
  <c r="L59" i="5"/>
  <c r="M59" i="5" s="1"/>
  <c r="O59" i="5" s="1"/>
  <c r="L58" i="5"/>
  <c r="M58" i="5" s="1"/>
  <c r="O58" i="5" s="1"/>
  <c r="L57" i="5"/>
  <c r="M57" i="5" s="1"/>
  <c r="O57" i="5" s="1"/>
  <c r="L56" i="5"/>
  <c r="M56" i="5" s="1"/>
  <c r="O56" i="5" s="1"/>
  <c r="L55" i="5"/>
  <c r="M55" i="5" s="1"/>
  <c r="O55" i="5" s="1"/>
  <c r="L54" i="5"/>
  <c r="M54" i="5" s="1"/>
  <c r="O54" i="5" s="1"/>
  <c r="N11" i="14" l="1"/>
  <c r="L93" i="14"/>
  <c r="N93" i="14" s="1"/>
  <c r="N15" i="14"/>
  <c r="N94" i="14" l="1"/>
  <c r="C6" i="14" l="1"/>
  <c r="C7" i="14" s="1"/>
  <c r="O94" i="5"/>
  <c r="C17" i="6" l="1"/>
  <c r="F9" i="10" l="1"/>
  <c r="F13" i="10"/>
  <c r="C6" i="6" l="1"/>
  <c r="C5" i="6"/>
  <c r="C4" i="6"/>
  <c r="C3" i="6"/>
  <c r="L53" i="5"/>
  <c r="M53" i="5" s="1"/>
  <c r="O53" i="5" s="1"/>
  <c r="L52" i="5"/>
  <c r="M52" i="5" s="1"/>
  <c r="O52" i="5" s="1"/>
  <c r="L51" i="5"/>
  <c r="M51" i="5" s="1"/>
  <c r="O51" i="5" s="1"/>
  <c r="L50" i="5"/>
  <c r="M50" i="5" s="1"/>
  <c r="O50" i="5" s="1"/>
  <c r="L49" i="5"/>
  <c r="M49" i="5" s="1"/>
  <c r="O49" i="5" s="1"/>
  <c r="L48" i="5"/>
  <c r="M48" i="5" s="1"/>
  <c r="O48" i="5" s="1"/>
  <c r="L47" i="5"/>
  <c r="M47" i="5" s="1"/>
  <c r="O47" i="5" s="1"/>
  <c r="L46" i="5"/>
  <c r="M46" i="5" s="1"/>
  <c r="O46" i="5" s="1"/>
  <c r="L45" i="5"/>
  <c r="M45" i="5" s="1"/>
  <c r="O45" i="5" s="1"/>
  <c r="L44" i="5"/>
  <c r="M44" i="5" s="1"/>
  <c r="O44" i="5" s="1"/>
  <c r="L43" i="5"/>
  <c r="M43" i="5" s="1"/>
  <c r="O43" i="5" s="1"/>
  <c r="L42" i="5"/>
  <c r="M42" i="5" s="1"/>
  <c r="O42" i="5" s="1"/>
  <c r="L41" i="5"/>
  <c r="M41" i="5" s="1"/>
  <c r="O41" i="5" s="1"/>
  <c r="L40" i="5"/>
  <c r="M40" i="5" s="1"/>
  <c r="O40" i="5" s="1"/>
  <c r="L39" i="5"/>
  <c r="M39" i="5" s="1"/>
  <c r="O39" i="5" s="1"/>
  <c r="L38" i="5"/>
  <c r="M38" i="5" s="1"/>
  <c r="O38" i="5" s="1"/>
  <c r="L37" i="5"/>
  <c r="M37" i="5" s="1"/>
  <c r="O37" i="5" s="1"/>
  <c r="L36" i="5"/>
  <c r="M36" i="5" s="1"/>
  <c r="O36" i="5" s="1"/>
  <c r="L35" i="5"/>
  <c r="M35" i="5" s="1"/>
  <c r="O35" i="5" s="1"/>
  <c r="L34" i="5"/>
  <c r="M34" i="5" s="1"/>
  <c r="O34" i="5" s="1"/>
  <c r="L33" i="5"/>
  <c r="M33" i="5" s="1"/>
  <c r="O33" i="5" s="1"/>
  <c r="L32" i="5"/>
  <c r="M32" i="5" s="1"/>
  <c r="O32" i="5" s="1"/>
  <c r="L31" i="5"/>
  <c r="M31" i="5" s="1"/>
  <c r="O31" i="5" s="1"/>
  <c r="L30" i="5"/>
  <c r="M30" i="5" s="1"/>
  <c r="O30" i="5" s="1"/>
  <c r="L29" i="5"/>
  <c r="M29" i="5" s="1"/>
  <c r="O29" i="5" s="1"/>
  <c r="L28" i="5"/>
  <c r="M28" i="5" s="1"/>
  <c r="O28" i="5" s="1"/>
  <c r="L27" i="5"/>
  <c r="M27" i="5" s="1"/>
  <c r="O27" i="5" s="1"/>
  <c r="L26" i="5"/>
  <c r="M26" i="5" s="1"/>
  <c r="O26" i="5" s="1"/>
  <c r="L25" i="5"/>
  <c r="M25" i="5" s="1"/>
  <c r="O25" i="5" s="1"/>
  <c r="L24" i="5"/>
  <c r="M24" i="5" s="1"/>
  <c r="O24" i="5" s="1"/>
  <c r="L23" i="5"/>
  <c r="M23" i="5" s="1"/>
  <c r="O23" i="5" s="1"/>
  <c r="L22" i="5"/>
  <c r="M22" i="5" s="1"/>
  <c r="O22" i="5" s="1"/>
  <c r="L21" i="5"/>
  <c r="M21" i="5" s="1"/>
  <c r="O21" i="5" s="1"/>
  <c r="L20" i="5"/>
  <c r="M20" i="5" s="1"/>
  <c r="O20" i="5" s="1"/>
  <c r="L19" i="5"/>
  <c r="M19" i="5" s="1"/>
  <c r="O19" i="5" s="1"/>
  <c r="L18" i="5"/>
  <c r="M18" i="5" s="1"/>
  <c r="O18" i="5" s="1"/>
  <c r="L17" i="5"/>
  <c r="M17" i="5" s="1"/>
  <c r="O17" i="5" s="1"/>
  <c r="L16" i="5"/>
  <c r="M16" i="5" s="1"/>
  <c r="O16" i="5" s="1"/>
  <c r="L15" i="5"/>
  <c r="M15" i="5" s="1"/>
  <c r="O15" i="5" s="1"/>
  <c r="A15" i="5"/>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L14" i="5"/>
  <c r="C6" i="5"/>
  <c r="C5" i="5"/>
  <c r="C4" i="5"/>
  <c r="C3" i="5"/>
  <c r="D12" i="4"/>
  <c r="C12" i="4"/>
  <c r="E10" i="4"/>
  <c r="C17" i="3" s="1"/>
  <c r="C6" i="4"/>
  <c r="C5" i="4"/>
  <c r="C4" i="4"/>
  <c r="C3" i="4"/>
  <c r="C15" i="3"/>
  <c r="C14" i="3"/>
  <c r="C13" i="3"/>
  <c r="C6" i="3"/>
  <c r="C5" i="3"/>
  <c r="C4" i="3"/>
  <c r="C3" i="3"/>
  <c r="G28" i="17" l="1"/>
  <c r="G20" i="17"/>
  <c r="G26" i="17"/>
  <c r="G25" i="17"/>
  <c r="G17" i="17"/>
  <c r="G24" i="17"/>
  <c r="G27" i="17"/>
  <c r="G23" i="17"/>
  <c r="G19" i="17"/>
  <c r="G22" i="17"/>
  <c r="G21" i="17"/>
  <c r="G18" i="17"/>
  <c r="M14" i="5"/>
  <c r="M96" i="5" s="1"/>
  <c r="F12" i="10"/>
  <c r="E12" i="4"/>
  <c r="C11" i="3" s="1"/>
  <c r="F26" i="10" l="1"/>
  <c r="F27" i="10" s="1"/>
  <c r="G27" i="10" s="1"/>
  <c r="O14" i="5"/>
  <c r="P14" i="5" s="1"/>
  <c r="M95" i="5"/>
  <c r="O95" i="5" s="1"/>
  <c r="P61" i="5"/>
  <c r="P84" i="5"/>
  <c r="P77" i="5"/>
  <c r="P88" i="5"/>
  <c r="P75" i="5"/>
  <c r="P67" i="5"/>
  <c r="P54" i="5"/>
  <c r="P82" i="5"/>
  <c r="P57" i="5"/>
  <c r="P80" i="5"/>
  <c r="P73" i="5"/>
  <c r="P59" i="5"/>
  <c r="P93" i="5"/>
  <c r="P63" i="5"/>
  <c r="P91" i="5"/>
  <c r="P78" i="5"/>
  <c r="P65" i="5"/>
  <c r="P55" i="5"/>
  <c r="P68" i="5"/>
  <c r="P58" i="5"/>
  <c r="P89" i="5"/>
  <c r="P71" i="5"/>
  <c r="P60" i="5"/>
  <c r="P74" i="5"/>
  <c r="P64" i="5"/>
  <c r="P56" i="5"/>
  <c r="P76" i="5"/>
  <c r="P66" i="5"/>
  <c r="P85" i="5"/>
  <c r="P70" i="5"/>
  <c r="P62" i="5"/>
  <c r="P87" i="5"/>
  <c r="P72" i="5"/>
  <c r="P90" i="5"/>
  <c r="P81" i="5"/>
  <c r="P79" i="5"/>
  <c r="P92" i="5"/>
  <c r="P83" i="5"/>
  <c r="P69" i="5"/>
  <c r="P86" i="5"/>
  <c r="P47" i="5"/>
  <c r="P39" i="5"/>
  <c r="P34" i="5"/>
  <c r="P41" i="5"/>
  <c r="P45" i="5"/>
  <c r="P44" i="5"/>
  <c r="P53" i="5"/>
  <c r="P20" i="5"/>
  <c r="P33" i="5"/>
  <c r="P50" i="5"/>
  <c r="P25" i="5"/>
  <c r="P18" i="5"/>
  <c r="P31" i="5"/>
  <c r="P21" i="5"/>
  <c r="P48" i="5"/>
  <c r="P15" i="5"/>
  <c r="P46" i="5"/>
  <c r="P32" i="5"/>
  <c r="P49" i="5"/>
  <c r="P29" i="5"/>
  <c r="P38" i="5"/>
  <c r="P26" i="5"/>
  <c r="P17" i="5"/>
  <c r="P51" i="5"/>
  <c r="P23" i="5"/>
  <c r="P37" i="5"/>
  <c r="P40" i="5"/>
  <c r="P36" i="5"/>
  <c r="P27" i="5"/>
  <c r="P43" i="5"/>
  <c r="P24" i="5"/>
  <c r="P28" i="5"/>
  <c r="P30" i="5"/>
  <c r="P19" i="5"/>
  <c r="P42" i="5"/>
  <c r="P52" i="5"/>
  <c r="P16" i="5"/>
  <c r="P35" i="5"/>
  <c r="P22" i="5"/>
  <c r="E11" i="4"/>
  <c r="N96" i="5" l="1"/>
  <c r="F6" i="16" l="1"/>
  <c r="M51" i="16" s="1"/>
  <c r="M52" i="16" s="1"/>
  <c r="N97" i="5"/>
  <c r="O96" i="5"/>
  <c r="O97" i="5" s="1"/>
  <c r="F10" i="5" s="1"/>
  <c r="C12" i="3" s="1"/>
  <c r="C16" i="3" s="1"/>
  <c r="C18" i="3" s="1"/>
  <c r="N98" i="5"/>
</calcChain>
</file>

<file path=xl/sharedStrings.xml><?xml version="1.0" encoding="utf-8"?>
<sst xmlns="http://schemas.openxmlformats.org/spreadsheetml/2006/main" count="440" uniqueCount="374">
  <si>
    <t>Overview</t>
  </si>
  <si>
    <t>Format</t>
  </si>
  <si>
    <t>ABC</t>
  </si>
  <si>
    <t>Heading of the table</t>
  </si>
  <si>
    <t>Heading of the column or row</t>
  </si>
  <si>
    <t>Formula or pre-filled data</t>
  </si>
  <si>
    <t>Data to be filled by the Entity</t>
  </si>
  <si>
    <t>Contents</t>
  </si>
  <si>
    <t>Description</t>
  </si>
  <si>
    <t>Section 1. General Information</t>
  </si>
  <si>
    <t xml:space="preserve">Section 2. Evaluation </t>
  </si>
  <si>
    <t>Section 3. Labor</t>
  </si>
  <si>
    <t>Section 4. Goods &amp; Services</t>
  </si>
  <si>
    <t>Appendix A.</t>
  </si>
  <si>
    <t>Appendix B.</t>
  </si>
  <si>
    <t>Section 1: General Information</t>
  </si>
  <si>
    <t>Tender Name</t>
  </si>
  <si>
    <t>Contract Start Date (DD/MM/YYYY)</t>
  </si>
  <si>
    <t>Contract End Date (DD/MM/YYYY)</t>
  </si>
  <si>
    <t>1.2 Entity Information</t>
  </si>
  <si>
    <t>Full name</t>
  </si>
  <si>
    <t>1.3 Contact Person</t>
  </si>
  <si>
    <t>1.4 Entity Description</t>
  </si>
  <si>
    <t>Description of business activities</t>
  </si>
  <si>
    <t>Section 2: Evaluation of Local Content</t>
  </si>
  <si>
    <t>Contract information</t>
  </si>
  <si>
    <t>Entity Name</t>
  </si>
  <si>
    <t>Local Content Score (%)</t>
  </si>
  <si>
    <t>Section 3: Labor</t>
  </si>
  <si>
    <t>Contribution to Local Content (%)</t>
  </si>
  <si>
    <t>Contribution to Local Content (SAR)</t>
  </si>
  <si>
    <t>Section 4: Goods and Services</t>
  </si>
  <si>
    <t>Goods/Services</t>
  </si>
  <si>
    <t>Local/Foreign</t>
  </si>
  <si>
    <t>Selected 
Score (%)</t>
  </si>
  <si>
    <t>Other Disallowable Costs (unallocated cost)</t>
  </si>
  <si>
    <t>Total Revenue (SAR)</t>
  </si>
  <si>
    <t>Total depreciation and amortization (SAR)</t>
  </si>
  <si>
    <t>Office furniture, desks, cubicles, office chairs</t>
  </si>
  <si>
    <t>Other</t>
  </si>
  <si>
    <t>Other (please give examples)</t>
  </si>
  <si>
    <t xml:space="preserve">Total depreciation and amortization </t>
  </si>
  <si>
    <t>A.1 Income Statement Line Items</t>
  </si>
  <si>
    <t>Cost of Revenue / Direct cost</t>
  </si>
  <si>
    <t>General and Administrative Expenses</t>
  </si>
  <si>
    <t>Selling and Distribution Expenses</t>
  </si>
  <si>
    <t xml:space="preserve">Finance costs </t>
  </si>
  <si>
    <t>Other expenses</t>
  </si>
  <si>
    <t>Total cost per audited financial statements</t>
  </si>
  <si>
    <t>A.2 Less Eliminations</t>
  </si>
  <si>
    <t>Zakat and income taxes</t>
  </si>
  <si>
    <t xml:space="preserve">Customs and duties </t>
  </si>
  <si>
    <t>Government fees (e.g., visa fees)</t>
  </si>
  <si>
    <t>Other (please describe)</t>
  </si>
  <si>
    <t>Total eliminations</t>
  </si>
  <si>
    <t>Appendix B</t>
  </si>
  <si>
    <t>B.1 List of Sector Local Content Scores</t>
  </si>
  <si>
    <t>General information on Sector Local Content Scores</t>
  </si>
  <si>
    <t>Sector</t>
  </si>
  <si>
    <t>2_SERVICES - KSA Food and Beverages</t>
  </si>
  <si>
    <t>The procurement of Services for food and beverages (e.g. Restaurants, catering; the purchase of ready-made food &amp; beverage products is not included)</t>
  </si>
  <si>
    <t>3_SERVICES - KSA Industrial Services</t>
  </si>
  <si>
    <t>4_SERVICES - KSA Security Services</t>
  </si>
  <si>
    <t>The procurement of security services including guard and patrol services (e.g. Security of facilities) and armored car services, operation of electronic security alarm systems (e.g. fire alarm)</t>
  </si>
  <si>
    <t>80, 811001</t>
  </si>
  <si>
    <t>5_SERVICES - KSA local Professional Services</t>
  </si>
  <si>
    <t>The procurement of Professional consulting, Such as engineering, accounting, legal, management consultancy (e.g. strategic, financial planning, budgeting, marketing, policies, HR)</t>
  </si>
  <si>
    <t>69-74 Exc. 712</t>
  </si>
  <si>
    <t>6_SERVICES - KSA local representative of Foreign professional service provider</t>
  </si>
  <si>
    <t>The procurement of Professional consulting, Such as engineering, accounting, legal, management consultancy (e.g. strategic, financial planning, budgeting, marketing, policies, HR) provided by a local representative of foreign professional service provider</t>
  </si>
  <si>
    <t>7_SERVICES - KSA Real Estate</t>
  </si>
  <si>
    <t>The procurement of services for selling or buying real estate, providing other real estate services such as appraising real estate or acting as real estate escrow agents. Exc. Facility rental</t>
  </si>
  <si>
    <t>68 Exc.68102</t>
  </si>
  <si>
    <t>8_SERVICES - KSA Construction</t>
  </si>
  <si>
    <t xml:space="preserve">41-43 </t>
  </si>
  <si>
    <t>9_SERVICES - KSA Education</t>
  </si>
  <si>
    <t xml:space="preserve">The procurement of all education activities for any profession, oral or written as well as by radio and television or other means of communication (e.g., professional training, language education) </t>
  </si>
  <si>
    <t>75, 85</t>
  </si>
  <si>
    <t>10_SERVICES - KSA Finance and Insurance</t>
  </si>
  <si>
    <t>11_SERVICES - KSA Healthcare</t>
  </si>
  <si>
    <t>The procurement of all Services related to healthcare (the procurement of healthcare equipment and pharmaceuticals is categorized under Goods sectors)</t>
  </si>
  <si>
    <t>86-88</t>
  </si>
  <si>
    <t>12_SERVICES - KSA Public Administration and Defence</t>
  </si>
  <si>
    <t>13_SERVICES - KSA Transport and Logistics</t>
  </si>
  <si>
    <t>The procurement of transport and logistics services from locally based service providers. This sector includes shipping, transportation, cargo services and Saudi based airlines (including freight forward),(Foreign airlines booked by local agency is categorized under foreign service agent),Exc. Rental of cars</t>
  </si>
  <si>
    <t>49-53 Exc.49225, 79-7911</t>
  </si>
  <si>
    <t>14_SERVICES - KSA Onshore Drilling</t>
  </si>
  <si>
    <t>The procurement of onshore drilling services</t>
  </si>
  <si>
    <t>06, 091</t>
  </si>
  <si>
    <t>15_SERVICES - KSA Offshore Drilling</t>
  </si>
  <si>
    <t>16_SERVICES - KSA Mining</t>
  </si>
  <si>
    <t>The procurement of Services for Mining</t>
  </si>
  <si>
    <t>Rental of Cars, Trucks and Equipment including power generation equipment (including the driver services)</t>
  </si>
  <si>
    <t>49225, 773-7730, 771</t>
  </si>
  <si>
    <t>The procurement of information and telecommunication Services (e.g., Information service activities, computer programming, broadcasting, telecommunications)</t>
  </si>
  <si>
    <t>The procurement of Services not categorized elsewhere (e.g., recreation activities, household activities)</t>
  </si>
  <si>
    <t>22_SERVICES - Foreign Service Agent</t>
  </si>
  <si>
    <t xml:space="preserve">The procurement of foreign service through local agents. This sector includes travel agencies  </t>
  </si>
  <si>
    <t>N /A (supplier type)</t>
  </si>
  <si>
    <t>23_SERVICES - Foreign</t>
  </si>
  <si>
    <t>The procurement of Services from foreign Service providers, i.e. entities without legal registration in KSA (direct Service imports)</t>
  </si>
  <si>
    <t>24_GOODS - KSA Agriculture, Forestry and Fishing</t>
  </si>
  <si>
    <t>The procurement of locally produced raw materials produced in agriculture, forestry &amp; fishing; all processed materials from these sectors should be categorized as manufacturing</t>
  </si>
  <si>
    <t>01-03</t>
  </si>
  <si>
    <t>25_GOODS - KSA Food and Beverage</t>
  </si>
  <si>
    <t>The procurement of locally produced food, beverage and tobacco products</t>
  </si>
  <si>
    <t>10-12</t>
  </si>
  <si>
    <t>26_GOODS - KSA Chemicals &amp; Oil and Gas</t>
  </si>
  <si>
    <t>The procurement of locally produced chemicals, plastics, manufactured chemical Goods, and Oil &amp; Gas product (e.g. Rubber).</t>
  </si>
  <si>
    <t>19-20, 22, 352</t>
  </si>
  <si>
    <t>27_GOODS - KSA Chemical Blending</t>
  </si>
  <si>
    <t>28_GOODS - KSA Machinery and Equipment</t>
  </si>
  <si>
    <t>The procurement of locally produced machinery and equipment</t>
  </si>
  <si>
    <t>265-268, 28 Exc.2813&amp;2814, 29-30</t>
  </si>
  <si>
    <t>29_GOODS - KSA Electrical Materials</t>
  </si>
  <si>
    <t xml:space="preserve">The procurement of locally produced electrical materials including switch gears, junction boxes, trays, conduits, fixtures, inverters skid and other electrical materials, , Excluding PV panels and electrical inverters. </t>
  </si>
  <si>
    <t>27, 2814</t>
  </si>
  <si>
    <t>30_GOODS - KSA Mining</t>
  </si>
  <si>
    <t>The procurement of locally produced raw materials extracted by the mining industry (e.g., coal, metal ores)</t>
  </si>
  <si>
    <t>05, 07-08</t>
  </si>
  <si>
    <t>31_GOODS - KSA Static Equipment</t>
  </si>
  <si>
    <t>24-25 Exc.25114&amp;25921, 2813</t>
  </si>
  <si>
    <t>32_GOODS - KSA Cement and Gypsum</t>
  </si>
  <si>
    <t xml:space="preserve"> 2394-2395</t>
  </si>
  <si>
    <t>The procurement of locally produced steel rebar</t>
  </si>
  <si>
    <t>34_GOODS - KSA IT &amp; Telecom Manufacturing</t>
  </si>
  <si>
    <t xml:space="preserve"> 261-264</t>
  </si>
  <si>
    <t>35_GOODS - KSA Other Manufacturing</t>
  </si>
  <si>
    <t>The procurement of locally produced paper products, wood products, furniture, secondary raw material, textiles, pharmaceuticals and other industries, Including PV panels and electrical inverters.</t>
  </si>
  <si>
    <t>13-18, 21, 23 Exc.2394&amp;2395, 31-32 (Inc. 2790 PV panels and Electrical inverters)</t>
  </si>
  <si>
    <t>36_GOODS - KSA Recyclers</t>
  </si>
  <si>
    <t>The procurement of locally recycled metal scrap, paper, plastic and rubber</t>
  </si>
  <si>
    <t>37_GOODS - KSA Agent or Distributor</t>
  </si>
  <si>
    <t>The procurement of any kind of Goods from KSA Suppliers who do not produce these Goods; instead, distributors/ traders import and distribute these Goods</t>
  </si>
  <si>
    <t>The procurement of Goods from foreign producers, i.e. entities without legal registration in KSA (direct Goods imports)</t>
  </si>
  <si>
    <t>38_GOODS - Foreign</t>
  </si>
  <si>
    <t>Research and Development Incentive Score (%)</t>
  </si>
  <si>
    <t>Local Content from depreciation and amortization</t>
  </si>
  <si>
    <t>*This document was originally prepared in Arabic, and the Arabic version should prevail</t>
  </si>
  <si>
    <t>Template Code</t>
  </si>
  <si>
    <t>Version Number</t>
  </si>
  <si>
    <t>Has the required percentage or number of suppliers been covered?</t>
  </si>
  <si>
    <t xml:space="preserve"> </t>
  </si>
  <si>
    <t>Local Content Score from Capital Expenditures (%)</t>
  </si>
  <si>
    <t>Provisions (Exc.,End of service provisons)</t>
  </si>
  <si>
    <t>Losses (e.g., foreign currency exchange and any other losses)</t>
  </si>
  <si>
    <t>Buildings</t>
  </si>
  <si>
    <t>Machines and equipment</t>
  </si>
  <si>
    <t>Vehicles</t>
  </si>
  <si>
    <t>Planes</t>
  </si>
  <si>
    <t>Computer hardware and software</t>
  </si>
  <si>
    <t>Furniture and fixtures</t>
  </si>
  <si>
    <t>Leasehold Improvements</t>
  </si>
  <si>
    <t>Intangible assets</t>
  </si>
  <si>
    <t>Capital work in progress</t>
  </si>
  <si>
    <t>Biological Assets</t>
  </si>
  <si>
    <t>Mobile cranes, Trucks, vans, cars, trailers, fork lifts</t>
  </si>
  <si>
    <t>1_SERVICES - KSA Accommodation and Facility Rental</t>
  </si>
  <si>
    <t>The procurement of testing, inspection, certification, calibration, maintenance, blasting, painting, coating and galvanizing services, steam and air conditioning supply</t>
  </si>
  <si>
    <t xml:space="preserve">The procurement of construction Services, specialized construction activities for buildings and civil engineering works (e.g., contracting; the procurement of pure construction materials is categorized under Goods sectors), interior and exterior painting of buildings </t>
  </si>
  <si>
    <t>The procurement of Services produced by government bodies (General public administration activities, Foreign affairs, Defence activities, etc)</t>
  </si>
  <si>
    <t>The procurement of offshore drilling services</t>
  </si>
  <si>
    <t>The procurement of services of electricity supply, water supply; sewerage.</t>
  </si>
  <si>
    <t>The procurement of locally produced chemicals where the raw material is imported. This sector includes paint manufacturers</t>
  </si>
  <si>
    <t xml:space="preserve">The procurement of locally produced static equipment such as tanks, pressure vessels and valves (control valves excluded) and steel manufacturers and structural  </t>
  </si>
  <si>
    <t>The procurement of locally produced  cement, concrete and gypsum</t>
  </si>
  <si>
    <t>55, 68102</t>
  </si>
  <si>
    <t>582, 61-63</t>
  </si>
  <si>
    <t>39, 58-60 Exc. 582, 772, 773074-7740, 7912-7990, 81-8110, 812-8299, 90-99</t>
  </si>
  <si>
    <t>381103, 383</t>
  </si>
  <si>
    <t>45-47</t>
  </si>
  <si>
    <t>Section 5. CAPEX</t>
  </si>
  <si>
    <t>Section 6. Capacity Building</t>
  </si>
  <si>
    <t>Section 7. Depreciation and Amortization</t>
  </si>
  <si>
    <t>Contribution to Local Content from Goods and Services (SAR)</t>
  </si>
  <si>
    <t>Brief Description for
Assets/CAPEX</t>
  </si>
  <si>
    <t>Supplier Name</t>
  </si>
  <si>
    <t>Sector 
Score (%)</t>
  </si>
  <si>
    <t>17_SERVICES - KSA Cars, Trucks and Equipment Rental</t>
  </si>
  <si>
    <t>18_SERVICES - KSA Man Power Supply</t>
  </si>
  <si>
    <t>19_SERVICES - IT &amp; Telecom Services</t>
  </si>
  <si>
    <t>20_SERVICES - KSA Other Services</t>
  </si>
  <si>
    <t>21_SERVICES - Utilities</t>
  </si>
  <si>
    <t>33_GOODS - KSA Steel Rebar Manufacturing</t>
  </si>
  <si>
    <t>The procurement of Services for short-term accommodation (e.g. Hotels) Camping grounds, Other accommodation (e.g. student residences) and rental of office buildings, compounds, warehouses, etc.</t>
  </si>
  <si>
    <t>The procurement of all financial Services (e.g., banking, funds management); this category also includes the procurement of insurance and pension Services (e.g., health insurance, transport insurance, accident and fire insurance)</t>
  </si>
  <si>
    <t>25921, 33, 35, Exc. 351&amp;352, 38 Exc.381103&amp;383, 712</t>
  </si>
  <si>
    <t>64-66</t>
  </si>
  <si>
    <t>84</t>
  </si>
  <si>
    <t>09</t>
  </si>
  <si>
    <t>78</t>
  </si>
  <si>
    <t>351, 36, 37</t>
  </si>
  <si>
    <t>Section 6: Capacity Building</t>
  </si>
  <si>
    <t>Section 7: Depreciation and Amortization</t>
  </si>
  <si>
    <t>Buildings / Land and Building Improvements</t>
  </si>
  <si>
    <t>Industrial equipment, testing equipment, information and communication technology equipment</t>
  </si>
  <si>
    <t>Section 4. Goods and Services</t>
  </si>
  <si>
    <t>General information about the entity and the types of products and services it provides</t>
  </si>
  <si>
    <t>Calculation and evaluation of the Local Content score for the entity</t>
  </si>
  <si>
    <t>The Entity's relevant expenses on labor compensation for the reported financial year</t>
  </si>
  <si>
    <t>The Entity's relevant Goods and Services expenses for the reported financial year</t>
  </si>
  <si>
    <t>The Entity's Capital expenditures for the reported financial year</t>
  </si>
  <si>
    <t>The Entity's relevant expenses on KSA capacity building for the reported financial year</t>
  </si>
  <si>
    <t>The Entity's depreciation and amortization for the reported financial year</t>
  </si>
  <si>
    <t>Local content scores for Goods and Services sectors</t>
  </si>
  <si>
    <t>The Local Content Template is provided by the Local Content and Government Procurement Authority to allow the entity to measure its contribution to Local Content. This Template provides a unified tool for reporting Local Content Score.</t>
  </si>
  <si>
    <t>Project Owner</t>
  </si>
  <si>
    <t>The Entity’s expenses as per its audited financial statements for the reported financial year</t>
  </si>
  <si>
    <r>
      <t xml:space="preserve">1.1 Tender Information </t>
    </r>
    <r>
      <rPr>
        <b/>
        <sz val="11"/>
        <color theme="0"/>
        <rFont val="Calibri"/>
        <family val="2"/>
        <scheme val="minor"/>
      </rPr>
      <t>(To be used only if the purpose of issuing the local content certificate is to submit a periodic or final report related to a specific project)</t>
    </r>
  </si>
  <si>
    <t>Please provide a brief description of the types of goods and services provided by the entity</t>
  </si>
  <si>
    <t>Full Name</t>
  </si>
  <si>
    <t>Main Address</t>
  </si>
  <si>
    <t>E-mail Address</t>
  </si>
  <si>
    <t>Office Phone Number</t>
  </si>
  <si>
    <t>Mobile Phone Number</t>
  </si>
  <si>
    <t>Disclosure general information about the subsidiaries consolidated in this Template</t>
  </si>
  <si>
    <t>1. The end date of the reported financial year.</t>
  </si>
  <si>
    <t>Contract Information</t>
  </si>
  <si>
    <t>Evaluation Criteria</t>
  </si>
  <si>
    <t>Total Local Content Contribution</t>
  </si>
  <si>
    <t>1. The local content score shows the actual value contributed by the entity during the reported financial year.</t>
  </si>
  <si>
    <t xml:space="preserve">2. The total cost during the reported financial year for operational activities including employee compensation, goods and services, capacity building, and depreciation and amortization of assets. </t>
  </si>
  <si>
    <t>3. The maximum score of export revenue is 10%, and it is not calculated in the local content score. LCGPA does not grant any benefits or incentives for this score.</t>
  </si>
  <si>
    <t xml:space="preserve">Local Content from labor </t>
  </si>
  <si>
    <t xml:space="preserve">Local Content from Goods and Services </t>
  </si>
  <si>
    <t xml:space="preserve">Local Content from Saudi training </t>
  </si>
  <si>
    <t xml:space="preserve">Local Content from Supplier development </t>
  </si>
  <si>
    <t xml:space="preserve">Local Content from research and development </t>
  </si>
  <si>
    <r>
      <t>End of Financial Year (MM/DD/YYYY)</t>
    </r>
    <r>
      <rPr>
        <b/>
        <vertAlign val="superscript"/>
        <sz val="11"/>
        <color theme="0"/>
        <rFont val="Calibri"/>
        <family val="2"/>
        <scheme val="minor"/>
      </rPr>
      <t>1</t>
    </r>
  </si>
  <si>
    <r>
      <t>2.1 Local Content Score</t>
    </r>
    <r>
      <rPr>
        <b/>
        <vertAlign val="superscript"/>
        <sz val="16"/>
        <color indexed="9"/>
        <rFont val="Calibri"/>
        <family val="2"/>
        <scheme val="minor"/>
      </rPr>
      <t>1</t>
    </r>
  </si>
  <si>
    <r>
      <t>Total Relevant Cost of Operations in the Kingdom of Saudi Arabia</t>
    </r>
    <r>
      <rPr>
        <b/>
        <vertAlign val="superscript"/>
        <sz val="11"/>
        <color theme="0"/>
        <rFont val="Calibri"/>
        <family val="2"/>
        <scheme val="minor"/>
      </rPr>
      <t>2</t>
    </r>
  </si>
  <si>
    <r>
      <t>Export Revenue Score  (%)</t>
    </r>
    <r>
      <rPr>
        <b/>
        <vertAlign val="superscript"/>
        <sz val="11"/>
        <color theme="0"/>
        <rFont val="Calibri"/>
        <family val="2"/>
        <scheme val="minor"/>
      </rPr>
      <t>3</t>
    </r>
  </si>
  <si>
    <r>
      <t>Total compensation (SAR)</t>
    </r>
    <r>
      <rPr>
        <b/>
        <vertAlign val="superscript"/>
        <sz val="11"/>
        <color theme="0"/>
        <rFont val="Calibri"/>
        <family val="2"/>
        <scheme val="minor"/>
      </rPr>
      <t>2</t>
    </r>
  </si>
  <si>
    <r>
      <t>3.1 Labor Compensations for the Reported Financial Year</t>
    </r>
    <r>
      <rPr>
        <b/>
        <vertAlign val="superscript"/>
        <sz val="16"/>
        <color indexed="9"/>
        <rFont val="Calibri"/>
        <family val="2"/>
        <scheme val="minor"/>
      </rPr>
      <t>1</t>
    </r>
  </si>
  <si>
    <t>1. Compensation of Saudi and foreign employees of the entity in the Kingdom of Saudi Arabia during the reported financial year, excluding the training expenses of Saudis included in Section 5 “Capacity Building”.</t>
  </si>
  <si>
    <t>2. Employees compensations includes salaries, wages, bonuses and benefits (e.g.: commissions, overtime, transportation allowances, housing allowances, vacations, other allowances, end-of-service benefits provision, and General Organization for Social Insurance (“GOSI”) contributions).</t>
  </si>
  <si>
    <t>3. A Saudi employee is any person who holds Saudi nationality or who is legally treated as a Saudi.</t>
  </si>
  <si>
    <t>4.1 Expenses for the Reported Financial Year</t>
  </si>
  <si>
    <r>
      <t>Total Expense of Goods and Services (SAR)</t>
    </r>
    <r>
      <rPr>
        <b/>
        <vertAlign val="superscript"/>
        <sz val="11"/>
        <color theme="0"/>
        <rFont val="Calibri"/>
        <family val="2"/>
        <scheme val="minor"/>
      </rPr>
      <t>1</t>
    </r>
  </si>
  <si>
    <t>Brief description of the goods or services provided</t>
  </si>
  <si>
    <t>Sector of the goods or services procured from the supplier</t>
  </si>
  <si>
    <t>Local Content Contribution (SAR)</t>
  </si>
  <si>
    <t>1. Includes the operating expenses and overhead costs of the entity on goods and services for the reported financial year.</t>
  </si>
  <si>
    <t>4.2 Expenses on Goods and Services for the Reported Financial Year</t>
  </si>
  <si>
    <t>5.1 Capital Expenditures for the Reported Financial Year</t>
  </si>
  <si>
    <t>Contribution to Local Content from Capital Expenditures</t>
  </si>
  <si>
    <t>5.2 Capital Expenditures for the Reported Financial Year</t>
  </si>
  <si>
    <t xml:space="preserve">Remaining Capital Expenditures </t>
  </si>
  <si>
    <t xml:space="preserve">Total Capital Expenditures </t>
  </si>
  <si>
    <t>1. Does not include the value of assets transferred from other parties, materials to be resold (inventory) and lands.</t>
  </si>
  <si>
    <t>6.1 Expenses on Training of Saudis</t>
  </si>
  <si>
    <t>6.2 Expenses on KSA Suppliers Development</t>
  </si>
  <si>
    <t>6.3 Expenses on KSA Research and Development</t>
  </si>
  <si>
    <t>1. Expenses on the training of Saudi employees for the reported financial year, this includes the cost of trainees and scholarships. Note that the expenses of this section shall not be repeated with other key performance indicators.</t>
  </si>
  <si>
    <t>2. Expenses on the development of suppliers (who have a Saudi commercial registration number or license number in KSA) for the reported financial year, through training and contribution to enhance suppliers' capabilities. Note that the expenses of this section shall not be repeated with other key performance indicators.</t>
  </si>
  <si>
    <t>3. Operating expenses for R&amp;D activities in the Kingdom of Saudi Arabia for the reported financial year. An incentive score of up to 10% is calculated when the spent on research and development is 2% of the total revenue of the entity.</t>
  </si>
  <si>
    <r>
      <t>Expenses for the reported financial year (SAR)</t>
    </r>
    <r>
      <rPr>
        <b/>
        <vertAlign val="superscript"/>
        <sz val="11"/>
        <color theme="0"/>
        <rFont val="Calibri"/>
        <family val="2"/>
        <scheme val="minor"/>
      </rPr>
      <t>1</t>
    </r>
  </si>
  <si>
    <r>
      <t>Expenses for the reported financial year (SAR)</t>
    </r>
    <r>
      <rPr>
        <b/>
        <vertAlign val="superscript"/>
        <sz val="11"/>
        <color theme="0"/>
        <rFont val="Calibri"/>
        <family val="2"/>
        <scheme val="minor"/>
      </rPr>
      <t>2</t>
    </r>
  </si>
  <si>
    <r>
      <t>Expenses for the reported financial year (SAR)</t>
    </r>
    <r>
      <rPr>
        <b/>
        <vertAlign val="superscript"/>
        <sz val="11"/>
        <color theme="0"/>
        <rFont val="Calibri"/>
        <family val="2"/>
        <scheme val="minor"/>
      </rPr>
      <t>3</t>
    </r>
  </si>
  <si>
    <t>7.1 Depreciation and Amortization of Assets in the Kingdom of Saudi Arabia</t>
  </si>
  <si>
    <t>7.2 Depreciation and Amortization by Asset class in the Kingdom of Saudi Arabia</t>
  </si>
  <si>
    <t>Asset Class</t>
  </si>
  <si>
    <t>Examples of Assets in Productive Asset class</t>
  </si>
  <si>
    <t>ISIC Code</t>
  </si>
  <si>
    <t>The procurement of manufacturing of computer&amp; electronic components, communication equipment (agents/resellers are not considered)</t>
  </si>
  <si>
    <t>The procurement of labor force services.</t>
  </si>
  <si>
    <t>Selected Score (%)</t>
  </si>
  <si>
    <r>
      <t>Full name</t>
    </r>
    <r>
      <rPr>
        <b/>
        <vertAlign val="superscript"/>
        <sz val="11"/>
        <color theme="0"/>
        <rFont val="Calibri"/>
        <family val="2"/>
        <scheme val="minor"/>
      </rPr>
      <t>2,3</t>
    </r>
  </si>
  <si>
    <r>
      <t>Unified National Number or KSA Commercial registration number</t>
    </r>
    <r>
      <rPr>
        <b/>
        <vertAlign val="superscript"/>
        <sz val="11"/>
        <color theme="0"/>
        <rFont val="Calibri"/>
        <family val="2"/>
        <scheme val="minor"/>
      </rPr>
      <t>4</t>
    </r>
  </si>
  <si>
    <r>
      <t>Factory Manufactored the supplied good, and Unified National Number -if Available-</t>
    </r>
    <r>
      <rPr>
        <b/>
        <vertAlign val="superscript"/>
        <sz val="11"/>
        <color theme="0"/>
        <rFont val="Calibri"/>
        <family val="2"/>
        <scheme val="minor"/>
      </rPr>
      <t>5</t>
    </r>
  </si>
  <si>
    <r>
      <t>Audited Score (%), If applicable</t>
    </r>
    <r>
      <rPr>
        <b/>
        <vertAlign val="superscript"/>
        <sz val="11"/>
        <color theme="0"/>
        <rFont val="Calibri"/>
        <family val="2"/>
        <scheme val="minor"/>
      </rPr>
      <t>6</t>
    </r>
  </si>
  <si>
    <t>4. Supplier's Unified National Number/Commercial Registration Number in the Kingdom of Saudi Arabia, and if it is not available, please enter the license number or “not applicable” to indicate that the supplier does not have a Unified National Number/Commercial Registration Number or license number in the Kingdom of Saudi Arabia.</t>
  </si>
  <si>
    <t>5. The Factory that manufactured the supplied good and the Unified National Number/Commercial Registeration number of the factory -if available- in case the factory is not the supplier of the goods.</t>
  </si>
  <si>
    <t>Sector Score (%)</t>
  </si>
  <si>
    <r>
      <t>Total Expenses (SAR)</t>
    </r>
    <r>
      <rPr>
        <b/>
        <vertAlign val="superscript"/>
        <sz val="11"/>
        <color theme="0"/>
        <rFont val="Calibri"/>
        <family val="2"/>
        <scheme val="minor"/>
      </rPr>
      <t>7</t>
    </r>
  </si>
  <si>
    <t>8. Inventory movement should only apply if consumption data is not available and purchasing data is being utilized, as per the Guidelines and related instructions.</t>
  </si>
  <si>
    <t>9. If the remaining expenses are equal to or more than SAR 500 million, list the top 80 suppliers in descending order by cost or until the remaining expenses is less than SAR 500 million, whichever comes first.</t>
  </si>
  <si>
    <r>
      <t xml:space="preserve">5. Capital expenditures </t>
    </r>
    <r>
      <rPr>
        <b/>
        <sz val="11"/>
        <rFont val="Calibri"/>
        <family val="2"/>
        <scheme val="minor"/>
      </rPr>
      <t>(the purpose of this section is to disclose the additions on the capital expenditures during the reported financial year, and it does not affect the calculation of the local content score)</t>
    </r>
  </si>
  <si>
    <r>
      <t xml:space="preserve">Local Content Score Template 
</t>
    </r>
    <r>
      <rPr>
        <b/>
        <sz val="14"/>
        <color indexed="8"/>
        <rFont val="Calibri "/>
      </rPr>
      <t>Local Content and Government Procurement Authority 
Template (N.1)</t>
    </r>
  </si>
  <si>
    <t>Section 4.1. Extra Disclosure</t>
  </si>
  <si>
    <t>The Entity's relevant Extra Disclosed Goods expenses for the reported financial year</t>
  </si>
  <si>
    <r>
      <t>1.5 Consolidated Subsidiaries</t>
    </r>
    <r>
      <rPr>
        <b/>
        <sz val="11"/>
        <color theme="0"/>
        <rFont val="Calibri"/>
        <family val="2"/>
        <scheme val="minor"/>
      </rPr>
      <t xml:space="preserve"> (To be used if the measurement is at the group level)</t>
    </r>
  </si>
  <si>
    <t>2. The entity's Unified National Number, if it is not available, enter the License Number, or please enter “Not applicable” to indicate that it does not have a unified national number or a license number in the Kingdom of Saudi Arabia.</t>
  </si>
  <si>
    <t>Foreign Employees</t>
  </si>
  <si>
    <t>Total</t>
  </si>
  <si>
    <r>
      <t xml:space="preserve"> Saudi Employees</t>
    </r>
    <r>
      <rPr>
        <b/>
        <vertAlign val="superscript"/>
        <sz val="11"/>
        <color theme="0"/>
        <rFont val="Calibri"/>
        <family val="2"/>
        <scheme val="minor"/>
      </rPr>
      <t>3</t>
    </r>
  </si>
  <si>
    <r>
      <t>Compensation of Saudi Employees (SAR)</t>
    </r>
    <r>
      <rPr>
        <b/>
        <vertAlign val="superscript"/>
        <sz val="11"/>
        <color theme="0"/>
        <rFont val="Calibri"/>
        <family val="2"/>
        <scheme val="minor"/>
      </rPr>
      <t>3</t>
    </r>
  </si>
  <si>
    <t>Compensation of foreign Employees (SAR)</t>
  </si>
  <si>
    <t>Total Compensation
(SAR)</t>
  </si>
  <si>
    <t>3.2 Average count of the employees for the Reported Financial Year</t>
  </si>
  <si>
    <t>Average count of Male Employees</t>
  </si>
  <si>
    <t>Average count of Femal Employees</t>
  </si>
  <si>
    <t>Average Employees Count</t>
  </si>
  <si>
    <t>4.1.1 Expenses for the Reported Financial Year</t>
  </si>
  <si>
    <t>percentage of supplied goods in the goods and services section and Extra Disclosure section (%)</t>
  </si>
  <si>
    <t>Section 4.1: Extra Disclosure of Goods (the purpose of this section is to disclose extra suppliers of goods during the reported financial year, and it does not affect the calculation of the local content score</t>
  </si>
  <si>
    <t>4.1.2 Expenses on Goods for the Reported Financial Year</t>
  </si>
  <si>
    <t>Brief description of the goods provided</t>
  </si>
  <si>
    <t>Contribution to Local Content  (SAR)</t>
  </si>
  <si>
    <t>Local Content Score  (%)</t>
  </si>
  <si>
    <t>Local Assets</t>
  </si>
  <si>
    <t>Foreign Assets</t>
  </si>
  <si>
    <r>
      <t>Local Content contribution (SAR)</t>
    </r>
    <r>
      <rPr>
        <b/>
        <vertAlign val="superscript"/>
        <sz val="11"/>
        <color theme="0"/>
        <rFont val="Calibri"/>
        <family val="2"/>
        <scheme val="minor"/>
      </rPr>
      <t>1</t>
    </r>
  </si>
  <si>
    <r>
      <t>Building and Land Improvements</t>
    </r>
    <r>
      <rPr>
        <vertAlign val="superscript"/>
        <sz val="11"/>
        <color theme="1"/>
        <rFont val="Calibri"/>
        <family val="2"/>
        <scheme val="minor"/>
      </rPr>
      <t>2</t>
    </r>
  </si>
  <si>
    <t>2. All depreciataion related to this category is considered 100% local content as long as they are located in KSA.</t>
  </si>
  <si>
    <t>Furniture and Fixtures</t>
  </si>
  <si>
    <t>Machinery and Equipment</t>
  </si>
  <si>
    <t>Infrastructure</t>
  </si>
  <si>
    <t>Infrastructure works such as road networks, energy, and water</t>
  </si>
  <si>
    <t>Investment properties</t>
  </si>
  <si>
    <t>Real estate assets such as residential buildings and commercial buildings</t>
  </si>
  <si>
    <t>Lease agreements for buildings, equipment, and vehicles</t>
  </si>
  <si>
    <t>Right-of-Use for leases, machinery, equipment, and vehicles</t>
  </si>
  <si>
    <t>Right-of-Use for Systems and Applications</t>
  </si>
  <si>
    <t>License to use computer software, systems</t>
  </si>
  <si>
    <t>Other (Please describe)</t>
  </si>
  <si>
    <t>A.3 Revenue and Dividends</t>
  </si>
  <si>
    <t>3.1 Revenue for 10 customers of the entity (Mandatory for factories, optional for non-factory entities)</t>
  </si>
  <si>
    <t>Customer's Name</t>
  </si>
  <si>
    <t>3.2 Total Revenue and Net Profit (Loss)</t>
  </si>
  <si>
    <t>3.3 Export Revenue Score (Optional)</t>
  </si>
  <si>
    <t>Export Revenue (SAR)</t>
  </si>
  <si>
    <t>Net Profit (Loss) (SAR)</t>
  </si>
  <si>
    <r>
      <t>Export Revenue Score  (%)</t>
    </r>
    <r>
      <rPr>
        <vertAlign val="superscript"/>
        <sz val="11"/>
        <color theme="1"/>
        <rFont val="Calibri"/>
        <family val="2"/>
        <scheme val="minor"/>
      </rPr>
      <t>1</t>
    </r>
  </si>
  <si>
    <t>1. The maximum score of export revenue is 10%, and it is not calculated in the local content score. LCGPA does not grant any benefits or incentives for this score.</t>
  </si>
  <si>
    <t>3.4 Dividends</t>
  </si>
  <si>
    <t>Total dividends for the reported period (SAR)</t>
  </si>
  <si>
    <t>Dividends for Saudi shareholders (SAR)</t>
  </si>
  <si>
    <t>Dividends for foreign shareholders (SAR)</t>
  </si>
  <si>
    <t>Appendix A: Reconciliation, Revenue, and Dividends</t>
  </si>
  <si>
    <t>Brief description of the 
goods or services provided</t>
  </si>
  <si>
    <t>3. List at least 70% or top 40 suppliers of the total expenses on Goods and Services in descending order by cost. The entity should contact LCGPA, in order to list more than 80 suppliers.</t>
  </si>
  <si>
    <t>2. List at least 10 suppliers or the remaining expenses is zero, whichever comes first.</t>
  </si>
  <si>
    <t>6. Enter the supplier's latest audited score (The Entity Level) or use the sector score of the consumed goods or services.</t>
  </si>
  <si>
    <t>5. The Factory that manufactured the supplied good and the Unified National Number/Commercial Registeration number of the factory -if available- in case the supplier is not the manufacturer of the goods.</t>
  </si>
  <si>
    <t>7. Total expenses refer to the value of total purchases, consumed materials or provided services from suppliers -individually- by the entity in the reported financial year, as per the guidelines and related instructions.</t>
  </si>
  <si>
    <t>1. If the disclosed goods in Section 4.Goods and Services are less than 50% of the total expenses of goods and services, list 40 suppliers in descending order by cost, or until the remaining expenses is zero, whichever comes first.</t>
  </si>
  <si>
    <r>
      <t>Full name</t>
    </r>
    <r>
      <rPr>
        <b/>
        <vertAlign val="superscript"/>
        <sz val="11"/>
        <color theme="0"/>
        <rFont val="Calibri"/>
        <family val="2"/>
        <scheme val="minor"/>
      </rPr>
      <t>1</t>
    </r>
  </si>
  <si>
    <r>
      <t>Unified National Number or KSA Commercial registration number</t>
    </r>
    <r>
      <rPr>
        <b/>
        <vertAlign val="superscript"/>
        <sz val="11"/>
        <color theme="0"/>
        <rFont val="Calibri"/>
        <family val="2"/>
        <scheme val="minor"/>
      </rPr>
      <t>2</t>
    </r>
  </si>
  <si>
    <t>2. Supplier's Unified National Number/Commercial Registration Number in the Kingdom of Saudi Arabia, and if it is not available, please enter the license number or “not applicable” to indicate that the supplier does not have a Unified National Number/Commercial Registration Number or license number in the Kingdom of Saudi Arabia.</t>
  </si>
  <si>
    <t>3. The Factory that manufactured the supplied good and the Unified National Number/Commercial Registeration number of the factory -if available- in case the factory is not the supplier of the goods.</t>
  </si>
  <si>
    <t>4. Enter the supplier's latest audited score or use the sector score of the consumed goods or services.</t>
  </si>
  <si>
    <t>5. Total expenses refer to the value of total purchases, consumed materials or provided services from suppliers -individually- by the entity in the reported financial year, as per the Guidelines and related instructions.</t>
  </si>
  <si>
    <r>
      <t xml:space="preserve">Total Capital Expenditures </t>
    </r>
    <r>
      <rPr>
        <b/>
        <vertAlign val="superscript"/>
        <sz val="10"/>
        <color theme="0"/>
        <rFont val="Calibri"/>
        <family val="2"/>
        <scheme val="minor"/>
      </rPr>
      <t>1,2</t>
    </r>
  </si>
  <si>
    <t>2. The disclosure is mandatory if the capital expenditures exceeeds 100 million.</t>
  </si>
  <si>
    <t>3. List 80 assets in descending order by cost, or if the Remaining Capital Expenditures is zero, whichever comes first. If the entity wishes to include more than 80 assets, it must contact LCGPA.</t>
  </si>
  <si>
    <r>
      <t xml:space="preserve">Assets Type </t>
    </r>
    <r>
      <rPr>
        <b/>
        <vertAlign val="superscript"/>
        <sz val="10"/>
        <color theme="0"/>
        <rFont val="Calibri"/>
        <family val="2"/>
        <scheme val="minor"/>
      </rPr>
      <t>3</t>
    </r>
  </si>
  <si>
    <r>
      <t>KSA Commercial registration number</t>
    </r>
    <r>
      <rPr>
        <b/>
        <vertAlign val="superscript"/>
        <sz val="11"/>
        <color theme="0"/>
        <rFont val="Calibri"/>
        <family val="2"/>
        <scheme val="minor"/>
      </rPr>
      <t>4</t>
    </r>
  </si>
  <si>
    <t>6. Must include the local content score at the contract level (if any) which is related to the disclosed capital expenditure. If it is not available, enter the supplier's latest audited score or use the sector score.</t>
  </si>
  <si>
    <r>
      <t>Total Expenditures (SAR)</t>
    </r>
    <r>
      <rPr>
        <b/>
        <vertAlign val="superscript"/>
        <sz val="10"/>
        <color theme="0"/>
        <rFont val="Calibri"/>
        <family val="2"/>
        <scheme val="minor"/>
      </rPr>
      <t>7</t>
    </r>
  </si>
  <si>
    <r>
      <t>Audited Score (%), If applicable</t>
    </r>
    <r>
      <rPr>
        <b/>
        <vertAlign val="superscript"/>
        <sz val="10"/>
        <color theme="0"/>
        <rFont val="Calibri"/>
        <family val="2"/>
        <scheme val="minor"/>
      </rPr>
      <t>6</t>
    </r>
  </si>
  <si>
    <t>7.Total expenditures refers to the value of assets added by the entity in the reported financial year.</t>
  </si>
  <si>
    <r>
      <t>Other Disallowable Costs (unallocated cost)</t>
    </r>
    <r>
      <rPr>
        <b/>
        <vertAlign val="superscript"/>
        <sz val="11"/>
        <color theme="0"/>
        <rFont val="Calibri"/>
        <family val="2"/>
        <scheme val="minor"/>
      </rPr>
      <t>8</t>
    </r>
  </si>
  <si>
    <r>
      <t>Unbilled Accrued Expenses</t>
    </r>
    <r>
      <rPr>
        <b/>
        <vertAlign val="superscript"/>
        <sz val="11"/>
        <color theme="0"/>
        <rFont val="Calibri"/>
        <family val="2"/>
        <scheme val="minor"/>
      </rPr>
      <t>9</t>
    </r>
  </si>
  <si>
    <r>
      <t>Inventory Movement (+/-)</t>
    </r>
    <r>
      <rPr>
        <b/>
        <vertAlign val="superscript"/>
        <sz val="11"/>
        <color theme="0"/>
        <rFont val="Calibri"/>
        <family val="2"/>
        <scheme val="minor"/>
      </rPr>
      <t>8</t>
    </r>
  </si>
  <si>
    <r>
      <t>Remaining expenses</t>
    </r>
    <r>
      <rPr>
        <b/>
        <vertAlign val="superscript"/>
        <sz val="11"/>
        <color theme="0"/>
        <rFont val="Calibri"/>
        <family val="2"/>
        <scheme val="minor"/>
      </rPr>
      <t>9</t>
    </r>
  </si>
  <si>
    <t>Total Expense</t>
  </si>
  <si>
    <t>8.If the Other Disallowable Costs (Unallocated Cost) exceeds 30% of the total additions on the capital expenditures, the entity must obtain LCGPA's approval.</t>
  </si>
  <si>
    <t>9.The unbilled accrued expenses that has not been mapped to a certain project are not included in calculating the local content score of Section 5.CAPEX.</t>
  </si>
  <si>
    <r>
      <t>KSA Unified National Number</t>
    </r>
    <r>
      <rPr>
        <b/>
        <vertAlign val="superscript"/>
        <sz val="11"/>
        <color theme="0"/>
        <rFont val="Calibri"/>
        <family val="2"/>
        <scheme val="minor"/>
      </rPr>
      <t>2</t>
    </r>
  </si>
  <si>
    <t>Depreciation / Amortization (SAR)</t>
  </si>
  <si>
    <r>
      <t>Has the required percentage or supplied goods been covered?</t>
    </r>
    <r>
      <rPr>
        <b/>
        <vertAlign val="superscript"/>
        <sz val="11"/>
        <color theme="0"/>
        <rFont val="Calibri"/>
        <family val="2"/>
        <scheme val="minor"/>
      </rPr>
      <t>10</t>
    </r>
  </si>
  <si>
    <t>Remaining expenses after the extra disclosure</t>
  </si>
  <si>
    <r>
      <t>Factory Manufactored the supplied good, and Unified National Number -if Available-</t>
    </r>
    <r>
      <rPr>
        <b/>
        <vertAlign val="superscript"/>
        <sz val="11"/>
        <color theme="0"/>
        <rFont val="Calibri"/>
        <family val="2"/>
        <scheme val="minor"/>
      </rPr>
      <t>3</t>
    </r>
  </si>
  <si>
    <r>
      <t>Audited Score (%), If applicable</t>
    </r>
    <r>
      <rPr>
        <b/>
        <vertAlign val="superscript"/>
        <sz val="11"/>
        <color theme="0"/>
        <rFont val="Calibri"/>
        <family val="2"/>
        <scheme val="minor"/>
      </rPr>
      <t>4</t>
    </r>
  </si>
  <si>
    <r>
      <t>Total Expenses (SAR)</t>
    </r>
    <r>
      <rPr>
        <b/>
        <vertAlign val="superscript"/>
        <sz val="11"/>
        <color theme="0"/>
        <rFont val="Calibri"/>
        <family val="2"/>
        <scheme val="minor"/>
      </rPr>
      <t>5</t>
    </r>
  </si>
  <si>
    <t>Remaining expenses</t>
  </si>
  <si>
    <t>Has the number of suppliers been covered?</t>
  </si>
  <si>
    <t>1. 100% Local Content Score for assets manufactured in the KSA, and 30% for assets manufactured outside KSA.</t>
  </si>
  <si>
    <t>KSA Unified National Number</t>
  </si>
  <si>
    <t>Unified National Number or KSA Commercial registration number</t>
  </si>
  <si>
    <t>V.2</t>
  </si>
  <si>
    <t>OM-LRG-02</t>
  </si>
  <si>
    <t>10. If  the percentage of the disclosed goods are less than 50% of the total expenses of goods and services, you must fill the 4.1 Extra Disclosure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</si>
</sst>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SAR]\ * #,##0_);_([$SAR]\ * \(#,##0\);_([$SAR]\ * &quot;-&quot;??_);_(@_)"/>
    <numFmt numFmtId="165" formatCode="0.0%_);\(0.0%\)"/>
    <numFmt numFmtId="166" formatCode="#,##0.0_);\(#,##0.0\);0.0_);@_)"/>
    <numFmt numFmtId="167" formatCode="[$-409]mmmm\ d\,\ yyyy;@"/>
    <numFmt numFmtId="168" formatCode="_([$SAR]\ * #,##0.0_);_([$SAR]\ * \(#,##0.0\);_([$SAR]\ * &quot;-&quot;??_);_(@_)"/>
    <numFmt numFmtId="169" formatCode="_([$SAR]\ * #,##0.00_);_([$SAR]\ * \(#,##0.00\);_([$SAR]\ * &quot;-&quot;??_);_(@_)"/>
    <numFmt numFmtId="170" formatCode="_(* #,##0_);_(* \(#,##0\);_(* &quot;-&quot;??_);_(@_)"/>
  </numFmts>
  <fonts count="42">
    <font>
      <sz val="11"/>
      <color theme="1"/>
      <name val="Calibri"/>
      <family val="2"/>
      <scheme val="minor"/>
    </font>
    <font>
      <sz val="11"/>
      <color theme="1"/>
      <name val="Calibri"/>
      <family val="2"/>
      <scheme val="minor"/>
    </font>
    <font>
      <b/>
      <sz val="11"/>
      <color theme="0"/>
      <name val="Calibri"/>
      <family val="2"/>
      <scheme val="minor"/>
    </font>
    <font>
      <sz val="10"/>
      <color rgb="FF0000FF"/>
      <name val="Arial"/>
      <family val="2"/>
    </font>
    <font>
      <b/>
      <sz val="11"/>
      <color theme="1"/>
      <name val="Calibri"/>
      <family val="2"/>
      <scheme val="minor"/>
    </font>
    <font>
      <b/>
      <sz val="22"/>
      <color theme="1"/>
      <name val="Calibri"/>
      <family val="2"/>
      <scheme val="minor"/>
    </font>
    <font>
      <b/>
      <sz val="16"/>
      <color theme="0"/>
      <name val="Calibri"/>
      <family val="2"/>
      <scheme val="minor"/>
    </font>
    <font>
      <u/>
      <sz val="11"/>
      <color theme="10"/>
      <name val="Calibri"/>
      <family val="2"/>
      <scheme val="minor"/>
    </font>
    <font>
      <sz val="9"/>
      <color theme="1"/>
      <name val="Calibri"/>
      <family val="2"/>
      <scheme val="minor"/>
    </font>
    <font>
      <sz val="11"/>
      <color theme="0"/>
      <name val="Calibri"/>
      <family val="2"/>
      <scheme val="minor"/>
    </font>
    <font>
      <b/>
      <vertAlign val="superscript"/>
      <sz val="11"/>
      <color theme="0"/>
      <name val="Calibri"/>
      <family val="2"/>
      <scheme val="minor"/>
    </font>
    <font>
      <sz val="11"/>
      <color rgb="FFFF0000"/>
      <name val="Calibri"/>
      <family val="2"/>
      <scheme val="minor"/>
    </font>
    <font>
      <sz val="11"/>
      <color theme="1"/>
      <name val="Calibri"/>
      <family val="2"/>
      <charset val="178"/>
      <scheme val="minor"/>
    </font>
    <font>
      <sz val="11"/>
      <color theme="1"/>
      <name val="Calibri "/>
    </font>
    <font>
      <b/>
      <sz val="22"/>
      <color theme="1"/>
      <name val="Calibri "/>
    </font>
    <font>
      <b/>
      <sz val="14"/>
      <color indexed="8"/>
      <name val="Calibri "/>
    </font>
    <font>
      <sz val="10"/>
      <color theme="1" tint="0.499984740745262"/>
      <name val="Calibri "/>
    </font>
    <font>
      <b/>
      <sz val="12"/>
      <color theme="0"/>
      <name val="Calibri "/>
    </font>
    <font>
      <sz val="10"/>
      <color theme="0"/>
      <name val="Calibri "/>
    </font>
    <font>
      <sz val="11"/>
      <color theme="0"/>
      <name val="Calibri "/>
    </font>
    <font>
      <sz val="11"/>
      <name val="Calibri "/>
    </font>
    <font>
      <b/>
      <sz val="11"/>
      <color theme="1"/>
      <name val="Calibri "/>
    </font>
    <font>
      <sz val="10"/>
      <name val="Calibri "/>
    </font>
    <font>
      <sz val="10"/>
      <color theme="1"/>
      <name val="Calibri "/>
    </font>
    <font>
      <u/>
      <sz val="11"/>
      <color theme="10"/>
      <name val="Calibri "/>
    </font>
    <font>
      <b/>
      <vertAlign val="superscript"/>
      <sz val="16"/>
      <color indexed="9"/>
      <name val="Calibri"/>
      <family val="2"/>
      <scheme val="minor"/>
    </font>
    <font>
      <b/>
      <sz val="10"/>
      <color theme="0"/>
      <name val="Calibri"/>
      <family val="2"/>
      <scheme val="minor"/>
    </font>
    <font>
      <b/>
      <sz val="12"/>
      <color theme="0"/>
      <name val="Calibri"/>
      <family val="2"/>
      <scheme val="minor"/>
    </font>
    <font>
      <b/>
      <sz val="12"/>
      <color rgb="FFFF0000"/>
      <name val="Calibri "/>
    </font>
    <font>
      <sz val="9"/>
      <color theme="1"/>
      <name val="Calibri "/>
    </font>
    <font>
      <b/>
      <sz val="9"/>
      <color theme="1"/>
      <name val="Calibri "/>
    </font>
    <font>
      <b/>
      <sz val="10"/>
      <color theme="1"/>
      <name val="Calibri "/>
    </font>
    <font>
      <b/>
      <sz val="14"/>
      <name val="Calibri"/>
      <family val="2"/>
      <scheme val="minor"/>
    </font>
    <font>
      <b/>
      <sz val="11"/>
      <name val="Calibri"/>
      <family val="2"/>
      <scheme val="minor"/>
    </font>
    <font>
      <b/>
      <vertAlign val="superscript"/>
      <sz val="10"/>
      <color theme="0"/>
      <name val="Calibri"/>
      <family val="2"/>
      <scheme val="minor"/>
    </font>
    <font>
      <vertAlign val="superscript"/>
      <sz val="11"/>
      <color theme="1"/>
      <name val="Calibri"/>
      <family val="2"/>
      <scheme val="minor"/>
    </font>
    <font>
      <b/>
      <sz val="11"/>
      <color theme="1"/>
      <name val="DIN Next LT Arabic"/>
      <family val="2"/>
    </font>
    <font>
      <b/>
      <sz val="12"/>
      <color rgb="FFFF0000"/>
      <name val="DIN Next LT Arabic"/>
    </font>
    <font>
      <sz val="10"/>
      <color theme="1"/>
      <name val="DIN Next LT Arabic"/>
      <family val="2"/>
    </font>
    <font>
      <b/>
      <sz val="11"/>
      <color theme="1"/>
      <name val="DIN Next LT Arabic"/>
    </font>
    <font>
      <i/>
      <sz val="11"/>
      <color rgb="FFFF0000"/>
      <name val="Calibri "/>
    </font>
    <font>
      <i/>
      <sz val="11"/>
      <color rgb="FFFF0000"/>
      <name val="Calibri"/>
      <family val="2"/>
      <scheme val="minor"/>
    </font>
  </fonts>
  <fills count="10">
    <fill>
      <patternFill patternType="none"/>
    </fill>
    <fill>
      <patternFill patternType="gray125"/>
    </fill>
    <fill>
      <patternFill patternType="solid">
        <fgColor rgb="FFFFFF66"/>
        <bgColor indexed="64"/>
      </patternFill>
    </fill>
    <fill>
      <patternFill patternType="solid">
        <fgColor theme="0"/>
        <bgColor indexed="64"/>
      </patternFill>
    </fill>
    <fill>
      <patternFill patternType="solid">
        <fgColor rgb="FF16284D"/>
        <bgColor indexed="64"/>
      </patternFill>
    </fill>
    <fill>
      <patternFill patternType="solid">
        <fgColor rgb="FF35617C"/>
        <bgColor indexed="64"/>
      </patternFill>
    </fill>
    <fill>
      <patternFill patternType="solid">
        <fgColor theme="3" tint="0.79998168889431442"/>
        <bgColor indexed="64"/>
      </patternFill>
    </fill>
    <fill>
      <patternFill patternType="solid">
        <fgColor rgb="FF35617C"/>
        <bgColor rgb="FF000000"/>
      </patternFill>
    </fill>
    <fill>
      <patternFill patternType="solid">
        <fgColor theme="3" tint="0.79998168889431442"/>
        <bgColor rgb="FF000000"/>
      </patternFill>
    </fill>
    <fill>
      <patternFill patternType="solid">
        <fgColor rgb="FFD6DCE4"/>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
      <left/>
      <right style="dotted">
        <color indexed="64"/>
      </right>
      <top/>
      <bottom style="dotted">
        <color indexed="64"/>
      </bottom>
      <diagonal/>
    </border>
    <border>
      <left style="dotted">
        <color indexed="64"/>
      </left>
      <right/>
      <top/>
      <bottom style="dotted">
        <color indexed="64"/>
      </bottom>
      <diagonal/>
    </border>
    <border>
      <left style="dotted">
        <color indexed="64"/>
      </left>
      <right/>
      <top/>
      <bottom/>
      <diagonal/>
    </border>
    <border>
      <left/>
      <right style="dotted">
        <color indexed="64"/>
      </right>
      <top/>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right style="medium">
        <color indexed="64"/>
      </right>
      <top style="dotted">
        <color indexed="64"/>
      </top>
      <bottom style="dotted">
        <color indexed="64"/>
      </bottom>
      <diagonal/>
    </border>
    <border>
      <left style="dotted">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dotted">
        <color indexed="64"/>
      </left>
      <right style="dotted">
        <color indexed="64"/>
      </right>
      <top/>
      <bottom style="dotted">
        <color indexed="64"/>
      </bottom>
      <diagonal/>
    </border>
    <border>
      <left/>
      <right style="dotted">
        <color indexed="64"/>
      </right>
      <top/>
      <bottom style="medium">
        <color rgb="FFC00000"/>
      </bottom>
      <diagonal/>
    </border>
    <border>
      <left style="dotted">
        <color indexed="64"/>
      </left>
      <right style="dotted">
        <color indexed="64"/>
      </right>
      <top style="dotted">
        <color indexed="64"/>
      </top>
      <bottom style="medium">
        <color rgb="FFC00000"/>
      </bottom>
      <diagonal/>
    </border>
    <border>
      <left style="dotted">
        <color indexed="64"/>
      </left>
      <right/>
      <top style="dotted">
        <color indexed="64"/>
      </top>
      <bottom style="medium">
        <color rgb="FFC00000"/>
      </bottom>
      <diagonal/>
    </border>
    <border>
      <left/>
      <right/>
      <top style="dotted">
        <color indexed="64"/>
      </top>
      <bottom style="medium">
        <color rgb="FFC00000"/>
      </bottom>
      <diagonal/>
    </border>
    <border>
      <left/>
      <right style="dotted">
        <color indexed="64"/>
      </right>
      <top style="dotted">
        <color indexed="64"/>
      </top>
      <bottom style="medium">
        <color rgb="FFC00000"/>
      </bottom>
      <diagonal/>
    </border>
    <border>
      <left style="dotted">
        <color theme="1"/>
      </left>
      <right/>
      <top style="dotted">
        <color theme="1"/>
      </top>
      <bottom style="dotted">
        <color theme="1"/>
      </bottom>
      <diagonal/>
    </border>
    <border>
      <left/>
      <right style="dotted">
        <color theme="1"/>
      </right>
      <top style="dotted">
        <color theme="1"/>
      </top>
      <bottom style="dotted">
        <color theme="1"/>
      </bottom>
      <diagonal/>
    </border>
    <border>
      <left/>
      <right style="dotted">
        <color theme="1"/>
      </right>
      <top style="dotted">
        <color indexed="64"/>
      </top>
      <bottom style="dotted">
        <color indexed="64"/>
      </bottom>
      <diagonal/>
    </border>
  </borders>
  <cellStyleXfs count="6">
    <xf numFmtId="0" fontId="0" fillId="0" borderId="0"/>
    <xf numFmtId="165" fontId="3" fillId="2" borderId="1" applyNumberForma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43" fontId="1" fillId="0" borderId="0" applyFont="0" applyFill="0" applyBorder="0" applyAlignment="0" applyProtection="0"/>
    <xf numFmtId="0" fontId="12" fillId="0" borderId="0"/>
  </cellStyleXfs>
  <cellXfs count="314">
    <xf numFmtId="0" fontId="0" fillId="0" borderId="0" xfId="0"/>
    <xf numFmtId="0" fontId="0" fillId="0" borderId="0" xfId="0" applyAlignment="1">
      <alignment vertical="center"/>
    </xf>
    <xf numFmtId="0" fontId="4" fillId="0" borderId="0" xfId="0" applyFont="1" applyAlignment="1">
      <alignment vertical="center"/>
    </xf>
    <xf numFmtId="0" fontId="5" fillId="0" borderId="0" xfId="0" applyFont="1"/>
    <xf numFmtId="0" fontId="0" fillId="0" borderId="0" xfId="0" applyAlignment="1" applyProtection="1">
      <alignment horizontal="left" vertical="top"/>
      <protection locked="0"/>
    </xf>
    <xf numFmtId="169" fontId="0" fillId="0" borderId="2" xfId="0" applyNumberFormat="1" applyBorder="1" applyProtection="1">
      <protection locked="0"/>
    </xf>
    <xf numFmtId="0" fontId="6" fillId="4" borderId="0" xfId="0" applyFont="1" applyFill="1" applyAlignment="1">
      <alignment vertical="center"/>
    </xf>
    <xf numFmtId="0" fontId="2" fillId="4" borderId="0" xfId="0" quotePrefix="1" applyFont="1" applyFill="1" applyAlignment="1">
      <alignment vertical="center"/>
    </xf>
    <xf numFmtId="0" fontId="6" fillId="4" borderId="0" xfId="0" quotePrefix="1" applyFont="1" applyFill="1" applyAlignment="1">
      <alignment vertical="center"/>
    </xf>
    <xf numFmtId="0" fontId="6" fillId="4" borderId="0" xfId="0" applyFont="1" applyFill="1"/>
    <xf numFmtId="0" fontId="6" fillId="4" borderId="0" xfId="0" applyFont="1" applyFill="1" applyAlignment="1">
      <alignment wrapText="1"/>
    </xf>
    <xf numFmtId="0" fontId="2" fillId="4" borderId="0" xfId="0" quotePrefix="1" applyFont="1" applyFill="1" applyAlignment="1">
      <alignment horizontal="left" vertical="center"/>
    </xf>
    <xf numFmtId="0" fontId="6" fillId="4" borderId="0" xfId="0" applyFont="1" applyFill="1" applyAlignment="1">
      <alignment horizontal="left"/>
    </xf>
    <xf numFmtId="0" fontId="6" fillId="4" borderId="0" xfId="0" applyFont="1" applyFill="1" applyAlignment="1">
      <alignment horizontal="left" wrapText="1"/>
    </xf>
    <xf numFmtId="1" fontId="6" fillId="4" borderId="0" xfId="0" applyNumberFormat="1" applyFont="1" applyFill="1" applyAlignment="1">
      <alignment horizontal="left" wrapText="1"/>
    </xf>
    <xf numFmtId="0" fontId="2" fillId="5" borderId="2" xfId="0" applyFont="1" applyFill="1" applyBorder="1" applyAlignment="1">
      <alignment vertical="center" wrapText="1"/>
    </xf>
    <xf numFmtId="0" fontId="2" fillId="5" borderId="2" xfId="0" applyFont="1" applyFill="1" applyBorder="1" applyAlignment="1">
      <alignment vertical="center"/>
    </xf>
    <xf numFmtId="0" fontId="2" fillId="5" borderId="11" xfId="0" applyFont="1" applyFill="1" applyBorder="1" applyAlignment="1">
      <alignment vertical="center"/>
    </xf>
    <xf numFmtId="0" fontId="2" fillId="5" borderId="11" xfId="0" applyFont="1" applyFill="1" applyBorder="1" applyAlignment="1">
      <alignment horizontal="left" vertical="center"/>
    </xf>
    <xf numFmtId="0" fontId="9" fillId="5" borderId="2" xfId="0" applyFont="1" applyFill="1" applyBorder="1" applyAlignment="1">
      <alignment vertical="center"/>
    </xf>
    <xf numFmtId="0" fontId="2" fillId="5" borderId="8" xfId="0" applyFont="1" applyFill="1" applyBorder="1" applyAlignment="1">
      <alignment vertical="center"/>
    </xf>
    <xf numFmtId="0" fontId="2" fillId="5" borderId="9" xfId="0" applyFont="1" applyFill="1" applyBorder="1" applyAlignment="1">
      <alignment vertical="center"/>
    </xf>
    <xf numFmtId="0" fontId="2" fillId="5" borderId="10" xfId="0" applyFont="1" applyFill="1" applyBorder="1" applyAlignment="1">
      <alignment vertical="center"/>
    </xf>
    <xf numFmtId="0" fontId="2" fillId="5" borderId="2" xfId="0" applyFont="1" applyFill="1" applyBorder="1" applyAlignment="1">
      <alignment horizontal="left" vertical="center" wrapText="1"/>
    </xf>
    <xf numFmtId="0" fontId="2" fillId="5" borderId="2" xfId="0" applyFont="1" applyFill="1" applyBorder="1" applyAlignment="1">
      <alignment horizontal="center" vertical="center" wrapText="1"/>
    </xf>
    <xf numFmtId="9" fontId="4" fillId="6" borderId="2" xfId="2" applyFont="1" applyFill="1" applyBorder="1" applyAlignment="1" applyProtection="1">
      <alignment horizontal="center" vertical="center"/>
    </xf>
    <xf numFmtId="169" fontId="4" fillId="6" borderId="2" xfId="0" applyNumberFormat="1" applyFont="1" applyFill="1" applyBorder="1" applyAlignment="1">
      <alignment vertical="center"/>
    </xf>
    <xf numFmtId="169" fontId="4" fillId="6" borderId="2" xfId="0" applyNumberFormat="1" applyFont="1" applyFill="1" applyBorder="1" applyAlignment="1">
      <alignment horizontal="center" vertical="center"/>
    </xf>
    <xf numFmtId="9" fontId="4" fillId="6" borderId="2" xfId="2" applyFont="1" applyFill="1" applyBorder="1" applyAlignment="1" applyProtection="1">
      <alignment horizontal="center"/>
    </xf>
    <xf numFmtId="0" fontId="2" fillId="5" borderId="11" xfId="0" applyFont="1" applyFill="1" applyBorder="1" applyAlignment="1">
      <alignment horizontal="center" vertical="center" wrapText="1"/>
    </xf>
    <xf numFmtId="164" fontId="0" fillId="6" borderId="12" xfId="0" applyNumberFormat="1" applyFill="1" applyBorder="1" applyAlignment="1">
      <alignment horizontal="left" vertical="center"/>
    </xf>
    <xf numFmtId="0" fontId="2" fillId="5" borderId="11" xfId="0" applyFont="1" applyFill="1" applyBorder="1" applyAlignment="1">
      <alignment horizontal="center" vertical="center"/>
    </xf>
    <xf numFmtId="1" fontId="2" fillId="5" borderId="11" xfId="0" applyNumberFormat="1" applyFont="1" applyFill="1" applyBorder="1" applyAlignment="1">
      <alignment horizontal="center" vertical="center"/>
    </xf>
    <xf numFmtId="9" fontId="0" fillId="6" borderId="2" xfId="2" applyFont="1" applyFill="1" applyBorder="1" applyAlignment="1" applyProtection="1">
      <alignment wrapText="1"/>
    </xf>
    <xf numFmtId="1" fontId="8" fillId="6" borderId="2" xfId="2" applyNumberFormat="1" applyFont="1" applyFill="1" applyBorder="1" applyAlignment="1" applyProtection="1">
      <alignment horizontal="left" wrapText="1"/>
    </xf>
    <xf numFmtId="9" fontId="0" fillId="6" borderId="11" xfId="2" applyFont="1" applyFill="1" applyBorder="1" applyAlignment="1" applyProtection="1">
      <alignment wrapText="1"/>
    </xf>
    <xf numFmtId="43" fontId="0" fillId="6" borderId="2" xfId="4" applyFont="1" applyFill="1" applyBorder="1" applyAlignment="1" applyProtection="1">
      <alignment horizontal="left" vertical="center"/>
    </xf>
    <xf numFmtId="170" fontId="0" fillId="6" borderId="14" xfId="4" applyNumberFormat="1" applyFont="1" applyFill="1" applyBorder="1" applyAlignment="1" applyProtection="1">
      <alignment horizontal="left" vertical="center"/>
    </xf>
    <xf numFmtId="0" fontId="2" fillId="0" borderId="0" xfId="0" applyFont="1" applyAlignment="1">
      <alignment vertical="center"/>
    </xf>
    <xf numFmtId="169" fontId="0" fillId="0" borderId="0" xfId="0" applyNumberFormat="1" applyAlignment="1">
      <alignment horizontal="left" vertical="center"/>
    </xf>
    <xf numFmtId="170" fontId="0" fillId="0" borderId="0" xfId="4" applyNumberFormat="1" applyFont="1" applyProtection="1"/>
    <xf numFmtId="0" fontId="11" fillId="0" borderId="0" xfId="0" applyFont="1"/>
    <xf numFmtId="169" fontId="4" fillId="6" borderId="2" xfId="0" applyNumberFormat="1" applyFont="1" applyFill="1" applyBorder="1"/>
    <xf numFmtId="0" fontId="6" fillId="4" borderId="0" xfId="0" quotePrefix="1" applyFont="1" applyFill="1" applyAlignment="1">
      <alignment horizontal="left" vertical="center"/>
    </xf>
    <xf numFmtId="0" fontId="2" fillId="0" borderId="0" xfId="0" applyFont="1" applyAlignment="1">
      <alignment horizontal="center" vertical="center" wrapText="1"/>
    </xf>
    <xf numFmtId="9" fontId="4" fillId="6" borderId="13" xfId="2" applyFont="1" applyFill="1" applyBorder="1" applyAlignment="1" applyProtection="1">
      <alignment horizontal="center"/>
    </xf>
    <xf numFmtId="10" fontId="4" fillId="6" borderId="11" xfId="2" applyNumberFormat="1" applyFont="1" applyFill="1" applyBorder="1" applyAlignment="1" applyProtection="1">
      <alignment horizontal="center" vertical="center"/>
    </xf>
    <xf numFmtId="10" fontId="4" fillId="0" borderId="0" xfId="2" applyNumberFormat="1" applyFont="1" applyFill="1" applyBorder="1" applyAlignment="1" applyProtection="1">
      <alignment vertical="center"/>
    </xf>
    <xf numFmtId="10" fontId="4" fillId="0" borderId="6" xfId="2" applyNumberFormat="1" applyFont="1" applyFill="1" applyBorder="1" applyAlignment="1" applyProtection="1">
      <alignment vertical="center"/>
    </xf>
    <xf numFmtId="0" fontId="4" fillId="6" borderId="2" xfId="0" applyFont="1" applyFill="1" applyBorder="1"/>
    <xf numFmtId="0" fontId="4" fillId="6" borderId="2" xfId="0" quotePrefix="1" applyFont="1" applyFill="1" applyBorder="1"/>
    <xf numFmtId="0" fontId="4" fillId="6" borderId="2" xfId="0" applyFont="1" applyFill="1" applyBorder="1" applyAlignment="1">
      <alignment vertical="center"/>
    </xf>
    <xf numFmtId="9" fontId="0" fillId="6" borderId="2" xfId="2" applyFont="1" applyFill="1" applyBorder="1" applyAlignment="1" applyProtection="1">
      <alignment vertical="top"/>
    </xf>
    <xf numFmtId="10" fontId="4" fillId="6" borderId="2" xfId="2" applyNumberFormat="1" applyFont="1" applyFill="1" applyBorder="1" applyAlignment="1" applyProtection="1">
      <alignment horizontal="center" vertical="center"/>
    </xf>
    <xf numFmtId="0" fontId="6" fillId="4" borderId="3" xfId="0" applyFont="1" applyFill="1" applyBorder="1" applyAlignment="1">
      <alignment vertical="center"/>
    </xf>
    <xf numFmtId="0" fontId="5" fillId="0" borderId="0" xfId="0" applyFont="1" applyAlignment="1">
      <alignment vertical="center"/>
    </xf>
    <xf numFmtId="9" fontId="7" fillId="0" borderId="0" xfId="2" applyFont="1" applyAlignment="1">
      <alignment vertical="center"/>
    </xf>
    <xf numFmtId="0" fontId="13" fillId="0" borderId="0" xfId="0" applyFont="1"/>
    <xf numFmtId="0" fontId="14" fillId="0" borderId="0" xfId="0" applyFont="1" applyAlignment="1">
      <alignment vertical="center"/>
    </xf>
    <xf numFmtId="0" fontId="16" fillId="0" borderId="25" xfId="5" applyFont="1" applyBorder="1" applyAlignment="1">
      <alignment horizontal="center" vertical="center" wrapText="1" readingOrder="2"/>
    </xf>
    <xf numFmtId="0" fontId="14" fillId="0" borderId="0" xfId="0" applyFont="1" applyAlignment="1">
      <alignment horizontal="left" vertical="center"/>
    </xf>
    <xf numFmtId="0" fontId="17" fillId="4" borderId="0" xfId="0" applyFont="1" applyFill="1" applyAlignment="1">
      <alignment vertical="center"/>
    </xf>
    <xf numFmtId="0" fontId="18" fillId="4" borderId="0" xfId="0" applyFont="1" applyFill="1"/>
    <xf numFmtId="0" fontId="19" fillId="4" borderId="0" xfId="0" applyFont="1" applyFill="1"/>
    <xf numFmtId="0" fontId="17" fillId="4" borderId="0" xfId="0" applyFont="1" applyFill="1"/>
    <xf numFmtId="0" fontId="13" fillId="0" borderId="6" xfId="0" applyFont="1" applyBorder="1"/>
    <xf numFmtId="0" fontId="13" fillId="0" borderId="7" xfId="0" applyFont="1" applyBorder="1"/>
    <xf numFmtId="166" fontId="19" fillId="4" borderId="2" xfId="1" applyNumberFormat="1" applyFont="1" applyFill="1" applyBorder="1" applyAlignment="1" applyProtection="1">
      <alignment horizontal="center" vertical="center"/>
    </xf>
    <xf numFmtId="0" fontId="20" fillId="0" borderId="0" xfId="0" applyFont="1" applyAlignment="1">
      <alignment horizontal="left" vertical="center" indent="1"/>
    </xf>
    <xf numFmtId="0" fontId="21" fillId="0" borderId="0" xfId="0" applyFont="1"/>
    <xf numFmtId="166" fontId="19" fillId="5" borderId="2" xfId="1" applyNumberFormat="1" applyFont="1" applyFill="1" applyBorder="1" applyAlignment="1" applyProtection="1">
      <alignment horizontal="center" vertical="center"/>
    </xf>
    <xf numFmtId="166" fontId="20" fillId="6" borderId="2" xfId="1" applyNumberFormat="1" applyFont="1" applyFill="1" applyBorder="1" applyAlignment="1" applyProtection="1">
      <alignment horizontal="center" vertical="center"/>
    </xf>
    <xf numFmtId="166" fontId="20" fillId="0" borderId="2" xfId="1" applyNumberFormat="1" applyFont="1" applyFill="1" applyBorder="1" applyAlignment="1" applyProtection="1">
      <alignment horizontal="center" vertical="center"/>
    </xf>
    <xf numFmtId="0" fontId="13" fillId="0" borderId="0" xfId="0" applyFont="1" applyAlignment="1">
      <alignment horizontal="left" vertical="center" indent="1"/>
    </xf>
    <xf numFmtId="166" fontId="20" fillId="0" borderId="2" xfId="1" applyNumberFormat="1" applyFont="1" applyFill="1" applyBorder="1" applyAlignment="1" applyProtection="1">
      <alignment horizontal="center"/>
    </xf>
    <xf numFmtId="0" fontId="13" fillId="0" borderId="5" xfId="0" applyFont="1" applyBorder="1"/>
    <xf numFmtId="166" fontId="22" fillId="0" borderId="3" xfId="1" applyNumberFormat="1" applyFont="1" applyFill="1" applyBorder="1" applyAlignment="1" applyProtection="1">
      <alignment horizontal="center"/>
    </xf>
    <xf numFmtId="0" fontId="23" fillId="0" borderId="3" xfId="0" applyFont="1" applyBorder="1" applyAlignment="1">
      <alignment horizontal="left" indent="1"/>
    </xf>
    <xf numFmtId="0" fontId="13" fillId="0" borderId="4" xfId="0" applyFont="1" applyBorder="1"/>
    <xf numFmtId="0" fontId="19" fillId="4" borderId="0" xfId="0" applyFont="1" applyFill="1" applyAlignment="1">
      <alignment vertical="center"/>
    </xf>
    <xf numFmtId="0" fontId="23" fillId="0" borderId="0" xfId="0" applyFont="1"/>
    <xf numFmtId="0" fontId="20" fillId="0" borderId="0" xfId="0" applyFont="1"/>
    <xf numFmtId="0" fontId="0" fillId="0" borderId="0" xfId="0" applyAlignment="1" applyProtection="1">
      <alignment horizontal="left" vertical="center"/>
      <protection locked="0"/>
    </xf>
    <xf numFmtId="167" fontId="0" fillId="0" borderId="0" xfId="0" applyNumberFormat="1" applyAlignment="1" applyProtection="1">
      <alignment horizontal="left" vertical="center"/>
      <protection locked="0"/>
    </xf>
    <xf numFmtId="0" fontId="0" fillId="0" borderId="0" xfId="0" applyAlignment="1">
      <alignment horizontal="center" vertical="center"/>
    </xf>
    <xf numFmtId="0" fontId="0" fillId="0" borderId="2" xfId="0" applyBorder="1" applyAlignment="1" applyProtection="1">
      <alignment vertical="center"/>
      <protection locked="0"/>
    </xf>
    <xf numFmtId="0" fontId="0" fillId="0" borderId="0" xfId="0" quotePrefix="1" applyAlignment="1">
      <alignment horizontal="right" vertical="center"/>
    </xf>
    <xf numFmtId="9" fontId="0" fillId="0" borderId="0" xfId="0" applyNumberFormat="1" applyAlignment="1">
      <alignment vertical="center"/>
    </xf>
    <xf numFmtId="169" fontId="0" fillId="0" borderId="0" xfId="0" applyNumberFormat="1" applyAlignment="1">
      <alignment vertical="center"/>
    </xf>
    <xf numFmtId="9" fontId="0" fillId="0" borderId="0" xfId="2" applyFont="1" applyAlignment="1" applyProtection="1">
      <alignment vertical="center"/>
    </xf>
    <xf numFmtId="169" fontId="0" fillId="0" borderId="2" xfId="0" applyNumberFormat="1" applyBorder="1" applyAlignment="1" applyProtection="1">
      <alignment vertical="center"/>
      <protection locked="0"/>
    </xf>
    <xf numFmtId="169" fontId="0" fillId="0" borderId="0" xfId="0" applyNumberFormat="1"/>
    <xf numFmtId="0" fontId="0" fillId="0" borderId="0" xfId="0" applyAlignment="1" applyProtection="1">
      <alignment vertical="top"/>
      <protection locked="0"/>
    </xf>
    <xf numFmtId="0" fontId="0" fillId="0" borderId="0" xfId="0" applyAlignment="1">
      <alignment horizontal="center"/>
    </xf>
    <xf numFmtId="0" fontId="0" fillId="0" borderId="2" xfId="0" applyBorder="1" applyProtection="1">
      <protection locked="0"/>
    </xf>
    <xf numFmtId="9" fontId="0" fillId="3" borderId="2" xfId="0" applyNumberFormat="1" applyFill="1" applyBorder="1" applyAlignment="1" applyProtection="1">
      <alignment horizontal="center"/>
      <protection locked="0"/>
    </xf>
    <xf numFmtId="9" fontId="0" fillId="6" borderId="2" xfId="2" applyFont="1" applyFill="1" applyBorder="1" applyAlignment="1" applyProtection="1">
      <alignment horizontal="center"/>
    </xf>
    <xf numFmtId="169" fontId="0" fillId="6" borderId="2" xfId="0" applyNumberFormat="1" applyFill="1" applyBorder="1"/>
    <xf numFmtId="9" fontId="0" fillId="0" borderId="2" xfId="0" applyNumberFormat="1" applyBorder="1" applyAlignment="1" applyProtection="1">
      <alignment horizontal="center"/>
      <protection locked="0"/>
    </xf>
    <xf numFmtId="0" fontId="0" fillId="0" borderId="27" xfId="0" applyBorder="1" applyAlignment="1">
      <alignment horizontal="center"/>
    </xf>
    <xf numFmtId="0" fontId="0" fillId="0" borderId="28" xfId="0" applyBorder="1" applyProtection="1">
      <protection locked="0"/>
    </xf>
    <xf numFmtId="9" fontId="0" fillId="0" borderId="28" xfId="0" applyNumberFormat="1" applyBorder="1" applyAlignment="1" applyProtection="1">
      <alignment horizontal="center"/>
      <protection locked="0"/>
    </xf>
    <xf numFmtId="9" fontId="0" fillId="6" borderId="28" xfId="2" applyFont="1" applyFill="1" applyBorder="1" applyAlignment="1" applyProtection="1">
      <alignment horizontal="center"/>
    </xf>
    <xf numFmtId="169" fontId="0" fillId="0" borderId="28" xfId="0" applyNumberFormat="1" applyBorder="1" applyProtection="1">
      <protection locked="0"/>
    </xf>
    <xf numFmtId="169" fontId="0" fillId="6" borderId="28" xfId="0" applyNumberFormat="1" applyFill="1" applyBorder="1"/>
    <xf numFmtId="0" fontId="0" fillId="0" borderId="26" xfId="0" applyBorder="1" applyProtection="1">
      <protection locked="0"/>
    </xf>
    <xf numFmtId="9" fontId="0" fillId="3" borderId="26" xfId="0" applyNumberFormat="1" applyFill="1" applyBorder="1" applyAlignment="1" applyProtection="1">
      <alignment horizontal="center"/>
      <protection locked="0"/>
    </xf>
    <xf numFmtId="9" fontId="0" fillId="6" borderId="26" xfId="2" applyFont="1" applyFill="1" applyBorder="1" applyAlignment="1" applyProtection="1">
      <alignment horizontal="center"/>
    </xf>
    <xf numFmtId="169" fontId="0" fillId="0" borderId="26" xfId="0" applyNumberFormat="1" applyBorder="1" applyProtection="1">
      <protection locked="0"/>
    </xf>
    <xf numFmtId="169" fontId="0" fillId="6" borderId="26" xfId="0" applyNumberFormat="1" applyFill="1" applyBorder="1"/>
    <xf numFmtId="0" fontId="0" fillId="0" borderId="0" xfId="0" applyAlignment="1">
      <alignment horizontal="right" readingOrder="2"/>
    </xf>
    <xf numFmtId="0" fontId="13" fillId="0" borderId="0" xfId="0" applyFont="1" applyAlignment="1">
      <alignment horizontal="right" readingOrder="2"/>
    </xf>
    <xf numFmtId="0" fontId="29" fillId="0" borderId="0" xfId="0" applyFont="1" applyAlignment="1">
      <alignment horizontal="right" readingOrder="2"/>
    </xf>
    <xf numFmtId="0" fontId="28" fillId="0" borderId="0" xfId="0" applyFont="1" applyAlignment="1">
      <alignment horizontal="right" readingOrder="2"/>
    </xf>
    <xf numFmtId="164" fontId="23" fillId="0" borderId="2" xfId="0" applyNumberFormat="1" applyFont="1" applyBorder="1" applyAlignment="1" applyProtection="1">
      <alignment vertical="center"/>
      <protection locked="0"/>
    </xf>
    <xf numFmtId="164" fontId="23" fillId="6" borderId="2" xfId="0" applyNumberFormat="1" applyFont="1" applyFill="1" applyBorder="1" applyAlignment="1">
      <alignment horizontal="right" vertical="center" readingOrder="2"/>
    </xf>
    <xf numFmtId="10" fontId="21" fillId="6" borderId="11" xfId="2" applyNumberFormat="1" applyFont="1" applyFill="1" applyBorder="1" applyAlignment="1" applyProtection="1">
      <alignment horizontal="center" vertical="center"/>
    </xf>
    <xf numFmtId="0" fontId="30" fillId="0" borderId="0" xfId="0" applyFont="1" applyAlignment="1">
      <alignment horizontal="right" vertical="center" readingOrder="2"/>
    </xf>
    <xf numFmtId="0" fontId="29" fillId="0" borderId="0" xfId="0" applyFont="1" applyAlignment="1">
      <alignment horizontal="right" vertical="center" readingOrder="2"/>
    </xf>
    <xf numFmtId="0" fontId="29" fillId="0" borderId="0" xfId="0" applyFont="1" applyAlignment="1" applyProtection="1">
      <alignment horizontal="center" vertical="center" readingOrder="2"/>
      <protection locked="0"/>
    </xf>
    <xf numFmtId="0" fontId="23" fillId="0" borderId="2" xfId="0" applyFont="1" applyBorder="1" applyAlignment="1" applyProtection="1">
      <alignment horizontal="right" readingOrder="2"/>
      <protection locked="0"/>
    </xf>
    <xf numFmtId="0" fontId="23" fillId="0" borderId="2" xfId="0" applyFont="1" applyBorder="1" applyAlignment="1" applyProtection="1">
      <alignment horizontal="right" wrapText="1" readingOrder="2"/>
      <protection locked="0"/>
    </xf>
    <xf numFmtId="0" fontId="13" fillId="0" borderId="2" xfId="0" applyFont="1" applyBorder="1" applyProtection="1">
      <protection locked="0"/>
    </xf>
    <xf numFmtId="169" fontId="23" fillId="0" borderId="2" xfId="0" applyNumberFormat="1" applyFont="1" applyBorder="1" applyAlignment="1" applyProtection="1">
      <alignment readingOrder="2"/>
      <protection locked="0"/>
    </xf>
    <xf numFmtId="169" fontId="23" fillId="8" borderId="2" xfId="0" applyNumberFormat="1" applyFont="1" applyFill="1" applyBorder="1" applyAlignment="1">
      <alignment readingOrder="2"/>
    </xf>
    <xf numFmtId="0" fontId="20" fillId="0" borderId="0" xfId="0" applyFont="1" applyAlignment="1">
      <alignment horizontal="right" readingOrder="2"/>
    </xf>
    <xf numFmtId="0" fontId="19" fillId="0" borderId="0" xfId="0" applyFont="1" applyAlignment="1">
      <alignment horizontal="right" readingOrder="2"/>
    </xf>
    <xf numFmtId="9" fontId="31" fillId="6" borderId="2" xfId="2" applyFont="1" applyFill="1" applyBorder="1" applyAlignment="1" applyProtection="1">
      <alignment horizontal="center"/>
    </xf>
    <xf numFmtId="169" fontId="31" fillId="8" borderId="2" xfId="0" applyNumberFormat="1" applyFont="1" applyFill="1" applyBorder="1" applyAlignment="1">
      <alignment readingOrder="2"/>
    </xf>
    <xf numFmtId="0" fontId="32" fillId="0" borderId="0" xfId="0" applyFont="1" applyAlignment="1">
      <alignment horizontal="left" readingOrder="1"/>
    </xf>
    <xf numFmtId="0" fontId="26" fillId="5" borderId="2" xfId="0" applyFont="1" applyFill="1" applyBorder="1" applyAlignment="1">
      <alignment horizontal="left" vertical="center" readingOrder="1"/>
    </xf>
    <xf numFmtId="0" fontId="0" fillId="6" borderId="2" xfId="0" applyFill="1" applyBorder="1" applyAlignment="1">
      <alignment horizontal="left" vertical="center"/>
    </xf>
    <xf numFmtId="49" fontId="0" fillId="6" borderId="2" xfId="0" applyNumberFormat="1" applyFill="1" applyBorder="1" applyAlignment="1">
      <alignment horizontal="left" vertical="center"/>
    </xf>
    <xf numFmtId="167" fontId="0" fillId="6" borderId="2" xfId="0" applyNumberFormat="1" applyFill="1" applyBorder="1" applyAlignment="1">
      <alignment horizontal="left" vertical="center"/>
    </xf>
    <xf numFmtId="168" fontId="0" fillId="0" borderId="2" xfId="0" applyNumberFormat="1" applyBorder="1" applyProtection="1">
      <protection locked="0"/>
    </xf>
    <xf numFmtId="164" fontId="0" fillId="0" borderId="2" xfId="0" applyNumberFormat="1" applyBorder="1" applyProtection="1">
      <protection locked="0"/>
    </xf>
    <xf numFmtId="164" fontId="0" fillId="0" borderId="0" xfId="0" applyNumberFormat="1" applyProtection="1">
      <protection locked="0"/>
    </xf>
    <xf numFmtId="164" fontId="0" fillId="0" borderId="0" xfId="0" applyNumberFormat="1" applyAlignment="1" applyProtection="1">
      <alignment horizontal="center"/>
      <protection locked="0"/>
    </xf>
    <xf numFmtId="164" fontId="0" fillId="0" borderId="0" xfId="0" applyNumberFormat="1"/>
    <xf numFmtId="0" fontId="0" fillId="9" borderId="11" xfId="0" applyFill="1" applyBorder="1" applyAlignment="1">
      <alignment horizontal="left" vertical="center" readingOrder="2"/>
    </xf>
    <xf numFmtId="169" fontId="0" fillId="6" borderId="2" xfId="0" applyNumberFormat="1" applyFill="1" applyBorder="1" applyAlignment="1">
      <alignment horizontal="left" vertical="center"/>
    </xf>
    <xf numFmtId="164" fontId="0" fillId="3" borderId="2" xfId="0" applyNumberFormat="1" applyFill="1" applyBorder="1" applyAlignment="1" applyProtection="1">
      <alignment horizontal="left" vertical="center"/>
      <protection locked="0"/>
    </xf>
    <xf numFmtId="9" fontId="0" fillId="6" borderId="2" xfId="2" applyFont="1" applyFill="1" applyBorder="1" applyAlignment="1" applyProtection="1">
      <alignment horizontal="center" vertical="center"/>
    </xf>
    <xf numFmtId="9" fontId="0" fillId="6" borderId="2" xfId="2" applyFont="1" applyFill="1" applyBorder="1" applyAlignment="1" applyProtection="1">
      <alignment vertical="center" wrapText="1"/>
    </xf>
    <xf numFmtId="1" fontId="8" fillId="6" borderId="2" xfId="2" applyNumberFormat="1" applyFont="1" applyFill="1" applyBorder="1" applyAlignment="1" applyProtection="1">
      <alignment horizontal="left" vertical="center" wrapText="1"/>
    </xf>
    <xf numFmtId="0" fontId="11" fillId="0" borderId="0" xfId="0" applyFont="1" applyAlignment="1" applyProtection="1">
      <alignment vertical="top"/>
      <protection locked="0"/>
    </xf>
    <xf numFmtId="0" fontId="13" fillId="6" borderId="2" xfId="0" applyFont="1" applyFill="1" applyBorder="1" applyProtection="1">
      <protection locked="0"/>
    </xf>
    <xf numFmtId="0" fontId="2" fillId="5" borderId="11" xfId="0" applyFont="1" applyFill="1" applyBorder="1"/>
    <xf numFmtId="0" fontId="2" fillId="5" borderId="13" xfId="0" applyFont="1" applyFill="1" applyBorder="1"/>
    <xf numFmtId="0" fontId="0" fillId="0" borderId="0" xfId="0" applyAlignment="1" applyProtection="1">
      <alignment vertical="center"/>
      <protection locked="0"/>
    </xf>
    <xf numFmtId="1" fontId="0" fillId="0" borderId="2" xfId="0" applyNumberFormat="1" applyBorder="1" applyAlignment="1" applyProtection="1">
      <alignment horizontal="center" vertical="center"/>
      <protection locked="0"/>
    </xf>
    <xf numFmtId="1" fontId="4" fillId="6" borderId="2" xfId="0" applyNumberFormat="1" applyFont="1" applyFill="1" applyBorder="1" applyAlignment="1">
      <alignment horizontal="center" vertical="center"/>
    </xf>
    <xf numFmtId="10" fontId="0" fillId="0" borderId="0" xfId="0" applyNumberFormat="1"/>
    <xf numFmtId="9" fontId="23" fillId="6" borderId="2" xfId="2" applyFont="1" applyFill="1" applyBorder="1" applyAlignment="1" applyProtection="1">
      <alignment horizontal="center" vertical="center"/>
    </xf>
    <xf numFmtId="10" fontId="23" fillId="0" borderId="2" xfId="2" applyNumberFormat="1" applyFont="1" applyFill="1" applyBorder="1" applyAlignment="1" applyProtection="1">
      <alignment horizontal="center" vertical="center" readingOrder="2"/>
      <protection locked="0"/>
    </xf>
    <xf numFmtId="0" fontId="2" fillId="5" borderId="0" xfId="0" applyFont="1" applyFill="1" applyAlignment="1">
      <alignment vertical="center"/>
    </xf>
    <xf numFmtId="0" fontId="6" fillId="0" borderId="0" xfId="0" applyFont="1"/>
    <xf numFmtId="169" fontId="4" fillId="6" borderId="2" xfId="0" applyNumberFormat="1" applyFont="1" applyFill="1" applyBorder="1" applyAlignment="1">
      <alignment horizontal="center"/>
    </xf>
    <xf numFmtId="164" fontId="0" fillId="0" borderId="2" xfId="0" applyNumberFormat="1" applyBorder="1" applyAlignment="1" applyProtection="1">
      <alignment vertical="center"/>
      <protection locked="0"/>
    </xf>
    <xf numFmtId="164" fontId="4" fillId="6" borderId="2" xfId="0" applyNumberFormat="1" applyFont="1" applyFill="1" applyBorder="1" applyAlignment="1">
      <alignment horizontal="center" vertical="center" wrapText="1"/>
    </xf>
    <xf numFmtId="164" fontId="4" fillId="6" borderId="2" xfId="0" applyNumberFormat="1" applyFont="1" applyFill="1" applyBorder="1" applyAlignment="1">
      <alignment horizontal="center" vertical="center"/>
    </xf>
    <xf numFmtId="0" fontId="26" fillId="5" borderId="2" xfId="0" applyFont="1" applyFill="1" applyBorder="1" applyAlignment="1">
      <alignment horizontal="left" vertical="center"/>
    </xf>
    <xf numFmtId="169" fontId="38" fillId="3" borderId="2" xfId="0" applyNumberFormat="1" applyFont="1" applyFill="1" applyBorder="1" applyAlignment="1" applyProtection="1">
      <alignment horizontal="center" vertical="center" readingOrder="2"/>
      <protection locked="0"/>
    </xf>
    <xf numFmtId="49" fontId="0" fillId="6" borderId="2" xfId="0" applyNumberFormat="1" applyFill="1" applyBorder="1" applyAlignment="1">
      <alignment horizontal="center" vertical="center"/>
    </xf>
    <xf numFmtId="0" fontId="0" fillId="6" borderId="2" xfId="0" applyFill="1" applyBorder="1" applyAlignment="1">
      <alignment horizontal="center" vertical="center"/>
    </xf>
    <xf numFmtId="167" fontId="0" fillId="6" borderId="2" xfId="0" applyNumberFormat="1" applyFill="1" applyBorder="1" applyAlignment="1">
      <alignment horizontal="center" vertical="center"/>
    </xf>
    <xf numFmtId="0" fontId="2" fillId="5" borderId="34" xfId="0" applyFont="1" applyFill="1" applyBorder="1"/>
    <xf numFmtId="0" fontId="6" fillId="0" borderId="0" xfId="0" applyFont="1" applyAlignment="1">
      <alignment vertical="center"/>
    </xf>
    <xf numFmtId="0" fontId="40" fillId="0" borderId="0" xfId="0" applyFont="1" applyAlignment="1">
      <alignment horizontal="right" readingOrder="2"/>
    </xf>
    <xf numFmtId="0" fontId="41" fillId="0" borderId="0" xfId="0" applyFont="1"/>
    <xf numFmtId="169" fontId="38" fillId="6" borderId="2" xfId="0" applyNumberFormat="1" applyFont="1" applyFill="1" applyBorder="1" applyAlignment="1">
      <alignment horizontal="center" vertical="center" readingOrder="2"/>
    </xf>
    <xf numFmtId="10" fontId="4" fillId="6" borderId="2" xfId="0" applyNumberFormat="1" applyFont="1" applyFill="1" applyBorder="1" applyAlignment="1">
      <alignment horizontal="center" vertical="center"/>
    </xf>
    <xf numFmtId="10" fontId="39" fillId="6" borderId="2" xfId="0" applyNumberFormat="1" applyFont="1" applyFill="1" applyBorder="1" applyAlignment="1">
      <alignment horizontal="center" vertical="center"/>
    </xf>
    <xf numFmtId="0" fontId="0" fillId="6" borderId="2" xfId="2" applyNumberFormat="1" applyFont="1" applyFill="1" applyBorder="1" applyAlignment="1" applyProtection="1">
      <alignment horizontal="center"/>
      <protection locked="0"/>
    </xf>
    <xf numFmtId="0" fontId="0" fillId="6" borderId="28" xfId="2" applyNumberFormat="1" applyFont="1" applyFill="1" applyBorder="1" applyAlignment="1" applyProtection="1">
      <alignment horizontal="center"/>
      <protection locked="0"/>
    </xf>
    <xf numFmtId="0" fontId="0" fillId="6" borderId="26" xfId="2" applyNumberFormat="1" applyFont="1" applyFill="1" applyBorder="1" applyAlignment="1" applyProtection="1">
      <alignment horizontal="center"/>
      <protection locked="0"/>
    </xf>
    <xf numFmtId="0" fontId="36" fillId="8" borderId="32" xfId="2" applyNumberFormat="1" applyFont="1" applyFill="1" applyBorder="1" applyAlignment="1">
      <alignment horizontal="center"/>
    </xf>
    <xf numFmtId="0" fontId="36" fillId="8" borderId="33" xfId="2" applyNumberFormat="1" applyFont="1" applyFill="1" applyBorder="1" applyAlignment="1">
      <alignment horizontal="center"/>
    </xf>
    <xf numFmtId="0" fontId="0" fillId="0" borderId="11"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4" xfId="0" applyBorder="1" applyAlignment="1" applyProtection="1">
      <alignment horizontal="center"/>
      <protection locked="0"/>
    </xf>
    <xf numFmtId="0" fontId="2" fillId="5" borderId="11" xfId="0" applyFont="1" applyFill="1" applyBorder="1" applyAlignment="1">
      <alignment horizontal="left"/>
    </xf>
    <xf numFmtId="0" fontId="2" fillId="5" borderId="13" xfId="0" applyFont="1" applyFill="1" applyBorder="1" applyAlignment="1">
      <alignment horizontal="left"/>
    </xf>
    <xf numFmtId="0" fontId="2" fillId="5" borderId="14" xfId="0" applyFont="1" applyFill="1" applyBorder="1" applyAlignment="1">
      <alignment horizontal="left"/>
    </xf>
    <xf numFmtId="0" fontId="0" fillId="0" borderId="0" xfId="0" applyAlignment="1" applyProtection="1">
      <alignment horizontal="left" vertical="top"/>
      <protection locked="0"/>
    </xf>
    <xf numFmtId="0" fontId="2" fillId="5" borderId="11" xfId="0" applyFont="1" applyFill="1" applyBorder="1" applyAlignment="1">
      <alignment vertical="center"/>
    </xf>
    <xf numFmtId="0" fontId="2" fillId="5" borderId="13" xfId="0" applyFont="1" applyFill="1" applyBorder="1" applyAlignment="1">
      <alignment vertical="center"/>
    </xf>
    <xf numFmtId="0" fontId="2" fillId="5" borderId="14" xfId="0" applyFont="1" applyFill="1" applyBorder="1" applyAlignment="1">
      <alignment vertical="center"/>
    </xf>
    <xf numFmtId="0" fontId="2" fillId="5" borderId="11" xfId="0" applyFont="1" applyFill="1" applyBorder="1"/>
    <xf numFmtId="0" fontId="2" fillId="5" borderId="13" xfId="0" applyFont="1" applyFill="1" applyBorder="1"/>
    <xf numFmtId="0" fontId="2" fillId="5" borderId="14" xfId="0" applyFont="1" applyFill="1" applyBorder="1"/>
    <xf numFmtId="0" fontId="2" fillId="5" borderId="11"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14" xfId="0" applyFont="1" applyFill="1" applyBorder="1" applyAlignment="1">
      <alignment horizontal="center" vertical="center" wrapText="1"/>
    </xf>
    <xf numFmtId="169" fontId="0" fillId="0" borderId="11" xfId="0" applyNumberFormat="1" applyBorder="1" applyAlignment="1" applyProtection="1">
      <alignment horizontal="center"/>
      <protection locked="0"/>
    </xf>
    <xf numFmtId="169" fontId="0" fillId="0" borderId="14" xfId="0" applyNumberFormat="1" applyBorder="1" applyAlignment="1" applyProtection="1">
      <alignment horizontal="center"/>
      <protection locked="0"/>
    </xf>
    <xf numFmtId="169" fontId="0" fillId="6" borderId="11" xfId="0" applyNumberFormat="1" applyFill="1" applyBorder="1" applyAlignment="1">
      <alignment horizontal="center" vertical="center"/>
    </xf>
    <xf numFmtId="169" fontId="0" fillId="6" borderId="14" xfId="0" applyNumberFormat="1" applyFill="1" applyBorder="1" applyAlignment="1">
      <alignment horizontal="center" vertical="center"/>
    </xf>
    <xf numFmtId="0" fontId="6" fillId="4" borderId="0" xfId="0" quotePrefix="1" applyFont="1" applyFill="1" applyAlignment="1">
      <alignment horizontal="left" vertical="center"/>
    </xf>
    <xf numFmtId="0" fontId="6" fillId="4" borderId="3" xfId="0" applyFont="1" applyFill="1" applyBorder="1" applyAlignment="1">
      <alignment horizontal="left" vertical="center"/>
    </xf>
    <xf numFmtId="0" fontId="0" fillId="6" borderId="11" xfId="0" applyFill="1" applyBorder="1" applyAlignment="1">
      <alignment horizontal="center"/>
    </xf>
    <xf numFmtId="0" fontId="0" fillId="6" borderId="13" xfId="0" applyFill="1" applyBorder="1" applyAlignment="1">
      <alignment horizontal="center"/>
    </xf>
    <xf numFmtId="0" fontId="0" fillId="6" borderId="14" xfId="0" applyFill="1" applyBorder="1" applyAlignment="1">
      <alignment horizontal="center"/>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5" xfId="0" applyBorder="1" applyAlignment="1" applyProtection="1">
      <alignment horizontal="center"/>
      <protection locked="0"/>
    </xf>
    <xf numFmtId="0" fontId="0" fillId="0" borderId="3" xfId="0" applyBorder="1" applyAlignment="1" applyProtection="1">
      <alignment horizontal="center"/>
      <protection locked="0"/>
    </xf>
    <xf numFmtId="0" fontId="0" fillId="0" borderId="4" xfId="0" applyBorder="1" applyAlignment="1" applyProtection="1">
      <alignment horizontal="center"/>
      <protection locked="0"/>
    </xf>
    <xf numFmtId="0" fontId="26" fillId="7" borderId="11" xfId="0" applyFont="1" applyFill="1" applyBorder="1" applyAlignment="1">
      <alignment horizontal="left" vertical="center" readingOrder="1"/>
    </xf>
    <xf numFmtId="0" fontId="26" fillId="7" borderId="13" xfId="0" applyFont="1" applyFill="1" applyBorder="1" applyAlignment="1">
      <alignment horizontal="left" vertical="center" readingOrder="1"/>
    </xf>
    <xf numFmtId="0" fontId="26" fillId="7" borderId="34" xfId="0" applyFont="1" applyFill="1" applyBorder="1" applyAlignment="1">
      <alignment horizontal="left" vertical="center" readingOrder="1"/>
    </xf>
    <xf numFmtId="49" fontId="0" fillId="6" borderId="11" xfId="0" applyNumberFormat="1" applyFill="1" applyBorder="1" applyAlignment="1">
      <alignment horizontal="center"/>
    </xf>
    <xf numFmtId="49" fontId="0" fillId="6" borderId="13" xfId="0" applyNumberFormat="1" applyFill="1" applyBorder="1" applyAlignment="1">
      <alignment horizontal="center"/>
    </xf>
    <xf numFmtId="49" fontId="0" fillId="6" borderId="14" xfId="0" applyNumberFormat="1" applyFill="1" applyBorder="1" applyAlignment="1">
      <alignment horizontal="center"/>
    </xf>
    <xf numFmtId="0" fontId="20" fillId="6" borderId="5" xfId="0" applyFont="1" applyFill="1" applyBorder="1" applyAlignment="1">
      <alignment horizontal="center" vertical="center" wrapText="1"/>
    </xf>
    <xf numFmtId="0" fontId="20" fillId="6" borderId="3" xfId="0" applyFont="1" applyFill="1" applyBorder="1" applyAlignment="1">
      <alignment horizontal="center" vertical="center" wrapText="1"/>
    </xf>
    <xf numFmtId="0" fontId="20" fillId="6" borderId="4" xfId="0" applyFont="1" applyFill="1" applyBorder="1" applyAlignment="1">
      <alignment horizontal="center" vertical="center" wrapText="1"/>
    </xf>
    <xf numFmtId="0" fontId="20" fillId="6" borderId="11"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0" fillId="6" borderId="14" xfId="0" applyFont="1" applyFill="1" applyBorder="1" applyAlignment="1">
      <alignment horizontal="center" vertical="center" wrapText="1"/>
    </xf>
    <xf numFmtId="0" fontId="13" fillId="0" borderId="0" xfId="0" applyFont="1" applyAlignment="1">
      <alignment horizontal="center"/>
    </xf>
    <xf numFmtId="0" fontId="22" fillId="6" borderId="13" xfId="0" applyFont="1" applyFill="1" applyBorder="1" applyAlignment="1">
      <alignment vertical="center"/>
    </xf>
    <xf numFmtId="0" fontId="22" fillId="6" borderId="14" xfId="0" applyFont="1" applyFill="1" applyBorder="1" applyAlignment="1">
      <alignment vertical="center"/>
    </xf>
    <xf numFmtId="0" fontId="24" fillId="6" borderId="11" xfId="3" applyFont="1" applyFill="1" applyBorder="1" applyAlignment="1">
      <alignment vertical="center"/>
    </xf>
    <xf numFmtId="0" fontId="24" fillId="6" borderId="13" xfId="3" applyFont="1" applyFill="1" applyBorder="1" applyAlignment="1">
      <alignment vertical="center"/>
    </xf>
    <xf numFmtId="0" fontId="14" fillId="0" borderId="0" xfId="0" applyFont="1" applyAlignment="1">
      <alignment horizontal="center" vertical="center" wrapText="1"/>
    </xf>
    <xf numFmtId="0" fontId="24" fillId="6" borderId="5" xfId="3" applyFont="1" applyFill="1" applyBorder="1" applyAlignment="1">
      <alignment vertical="center"/>
    </xf>
    <xf numFmtId="0" fontId="24" fillId="6" borderId="3" xfId="3" applyFont="1" applyFill="1" applyBorder="1" applyAlignment="1">
      <alignment vertical="center"/>
    </xf>
    <xf numFmtId="0" fontId="0" fillId="0" borderId="0" xfId="0" applyAlignment="1" applyProtection="1">
      <alignment horizontal="left" vertical="center"/>
      <protection locked="0"/>
    </xf>
    <xf numFmtId="0" fontId="0" fillId="0" borderId="11" xfId="0" applyBorder="1" applyAlignment="1" applyProtection="1">
      <alignment horizontal="left" vertical="center"/>
      <protection locked="0"/>
    </xf>
    <xf numFmtId="0" fontId="0" fillId="0" borderId="14" xfId="0" applyBorder="1" applyAlignment="1" applyProtection="1">
      <alignment horizontal="left" vertical="center"/>
      <protection locked="0"/>
    </xf>
    <xf numFmtId="167" fontId="0" fillId="0" borderId="11" xfId="0" applyNumberFormat="1" applyBorder="1" applyAlignment="1" applyProtection="1">
      <alignment horizontal="left" vertical="center"/>
      <protection locked="0"/>
    </xf>
    <xf numFmtId="167" fontId="0" fillId="0" borderId="14" xfId="0" applyNumberFormat="1" applyBorder="1" applyAlignment="1" applyProtection="1">
      <alignment horizontal="left" vertical="center"/>
      <protection locked="0"/>
    </xf>
    <xf numFmtId="167" fontId="0" fillId="0" borderId="5" xfId="0" applyNumberFormat="1" applyBorder="1" applyAlignment="1" applyProtection="1">
      <alignment horizontal="left" vertical="center"/>
      <protection locked="0"/>
    </xf>
    <xf numFmtId="167" fontId="0" fillId="0" borderId="4" xfId="0" applyNumberFormat="1" applyBorder="1" applyAlignment="1" applyProtection="1">
      <alignment horizontal="left" vertical="center"/>
      <protection locked="0"/>
    </xf>
    <xf numFmtId="0" fontId="2" fillId="4" borderId="11" xfId="0" applyFont="1" applyFill="1" applyBorder="1" applyAlignment="1">
      <alignment horizontal="left" vertical="center" wrapText="1"/>
    </xf>
    <xf numFmtId="0" fontId="2" fillId="4" borderId="13" xfId="0" applyFont="1" applyFill="1" applyBorder="1" applyAlignment="1">
      <alignment horizontal="left" vertical="center" wrapText="1"/>
    </xf>
    <xf numFmtId="0" fontId="2" fillId="4" borderId="14" xfId="0" applyFont="1" applyFill="1" applyBorder="1" applyAlignment="1">
      <alignment horizontal="left" vertical="center" wrapText="1"/>
    </xf>
    <xf numFmtId="0" fontId="0" fillId="0" borderId="0" xfId="0" applyAlignment="1">
      <alignment horizontal="left" vertical="center" wrapText="1"/>
    </xf>
    <xf numFmtId="49" fontId="0" fillId="0" borderId="5" xfId="0" applyNumberFormat="1" applyBorder="1" applyAlignment="1" applyProtection="1">
      <alignment horizontal="left" vertical="center"/>
      <protection locked="0"/>
    </xf>
    <xf numFmtId="49" fontId="0" fillId="0" borderId="4" xfId="0" applyNumberFormat="1" applyBorder="1" applyAlignment="1" applyProtection="1">
      <alignment horizontal="left" vertical="center"/>
      <protection locked="0"/>
    </xf>
    <xf numFmtId="0" fontId="0" fillId="6" borderId="11" xfId="0" applyFill="1" applyBorder="1" applyAlignment="1">
      <alignment horizontal="left" vertical="center"/>
    </xf>
    <xf numFmtId="0" fontId="0" fillId="6" borderId="13" xfId="0" applyFill="1" applyBorder="1" applyAlignment="1">
      <alignment horizontal="left" vertical="center"/>
    </xf>
    <xf numFmtId="0" fontId="0" fillId="6" borderId="14" xfId="0" applyFill="1" applyBorder="1" applyAlignment="1">
      <alignment horizontal="left" vertical="center"/>
    </xf>
    <xf numFmtId="167" fontId="0" fillId="6" borderId="11" xfId="0" applyNumberFormat="1" applyFill="1" applyBorder="1" applyAlignment="1">
      <alignment horizontal="left" vertical="center"/>
    </xf>
    <xf numFmtId="167" fontId="0" fillId="6" borderId="13" xfId="0" applyNumberFormat="1" applyFill="1" applyBorder="1" applyAlignment="1">
      <alignment horizontal="left" vertical="center"/>
    </xf>
    <xf numFmtId="167" fontId="0" fillId="6" borderId="14" xfId="0" applyNumberFormat="1" applyFill="1" applyBorder="1" applyAlignment="1">
      <alignment horizontal="left" vertical="center"/>
    </xf>
    <xf numFmtId="0" fontId="2" fillId="5" borderId="11" xfId="0" applyFont="1" applyFill="1" applyBorder="1" applyAlignment="1">
      <alignment horizontal="center" vertical="center"/>
    </xf>
    <xf numFmtId="0" fontId="2" fillId="5" borderId="13" xfId="0" applyFont="1" applyFill="1" applyBorder="1" applyAlignment="1">
      <alignment horizontal="center" vertical="center"/>
    </xf>
    <xf numFmtId="169" fontId="0" fillId="6" borderId="11" xfId="0" applyNumberFormat="1" applyFill="1" applyBorder="1" applyAlignment="1">
      <alignment horizontal="left" vertical="center"/>
    </xf>
    <xf numFmtId="169" fontId="0" fillId="6" borderId="13" xfId="0" applyNumberFormat="1" applyFill="1" applyBorder="1" applyAlignment="1">
      <alignment horizontal="left" vertical="center"/>
    </xf>
    <xf numFmtId="169" fontId="0" fillId="6" borderId="14" xfId="0" applyNumberFormat="1" applyFill="1" applyBorder="1" applyAlignment="1">
      <alignment horizontal="left" vertical="center"/>
    </xf>
    <xf numFmtId="10" fontId="4" fillId="6" borderId="22" xfId="2" applyNumberFormat="1" applyFont="1" applyFill="1" applyBorder="1" applyAlignment="1" applyProtection="1">
      <alignment horizontal="center" vertical="center"/>
    </xf>
    <xf numFmtId="10" fontId="4" fillId="6" borderId="23" xfId="2" applyNumberFormat="1" applyFont="1" applyFill="1" applyBorder="1" applyAlignment="1" applyProtection="1">
      <alignment horizontal="center" vertical="center"/>
    </xf>
    <xf numFmtId="10" fontId="4" fillId="6" borderId="24" xfId="2" applyNumberFormat="1" applyFont="1" applyFill="1" applyBorder="1" applyAlignment="1" applyProtection="1">
      <alignment horizontal="center" vertical="center"/>
    </xf>
    <xf numFmtId="169" fontId="4" fillId="6" borderId="15" xfId="0" applyNumberFormat="1" applyFont="1" applyFill="1" applyBorder="1" applyAlignment="1">
      <alignment horizontal="left" vertical="center"/>
    </xf>
    <xf numFmtId="169" fontId="4" fillId="6" borderId="16" xfId="0" applyNumberFormat="1" applyFont="1" applyFill="1" applyBorder="1" applyAlignment="1">
      <alignment horizontal="left" vertical="center"/>
    </xf>
    <xf numFmtId="169" fontId="4" fillId="6" borderId="2" xfId="0" applyNumberFormat="1" applyFont="1" applyFill="1" applyBorder="1" applyAlignment="1">
      <alignment horizontal="left" vertical="center"/>
    </xf>
    <xf numFmtId="169" fontId="4" fillId="6" borderId="17" xfId="0" applyNumberFormat="1" applyFont="1" applyFill="1" applyBorder="1" applyAlignment="1">
      <alignment horizontal="left" vertical="center"/>
    </xf>
    <xf numFmtId="10" fontId="4" fillId="6" borderId="11" xfId="2" applyNumberFormat="1" applyFont="1" applyFill="1" applyBorder="1" applyAlignment="1" applyProtection="1">
      <alignment horizontal="center" vertical="center"/>
    </xf>
    <xf numFmtId="10" fontId="4" fillId="6" borderId="13" xfId="2" applyNumberFormat="1" applyFont="1" applyFill="1" applyBorder="1" applyAlignment="1" applyProtection="1">
      <alignment horizontal="center" vertical="center"/>
    </xf>
    <xf numFmtId="10" fontId="4" fillId="6" borderId="21" xfId="2" applyNumberFormat="1" applyFont="1" applyFill="1" applyBorder="1" applyAlignment="1" applyProtection="1">
      <alignment horizontal="center" vertical="center"/>
    </xf>
    <xf numFmtId="0" fontId="0" fillId="6" borderId="11" xfId="0" applyFill="1" applyBorder="1" applyAlignment="1">
      <alignment horizontal="left"/>
    </xf>
    <xf numFmtId="0" fontId="0" fillId="6" borderId="13" xfId="0" applyFill="1" applyBorder="1" applyAlignment="1">
      <alignment horizontal="left"/>
    </xf>
    <xf numFmtId="0" fontId="0" fillId="6" borderId="14" xfId="0" applyFill="1" applyBorder="1" applyAlignment="1">
      <alignment horizontal="left"/>
    </xf>
    <xf numFmtId="167" fontId="0" fillId="6" borderId="11" xfId="0" applyNumberFormat="1" applyFill="1" applyBorder="1" applyAlignment="1">
      <alignment horizontal="left"/>
    </xf>
    <xf numFmtId="167" fontId="0" fillId="6" borderId="13" xfId="0" applyNumberFormat="1" applyFill="1" applyBorder="1" applyAlignment="1">
      <alignment horizontal="left"/>
    </xf>
    <xf numFmtId="167" fontId="0" fillId="6" borderId="14" xfId="0" applyNumberFormat="1" applyFill="1" applyBorder="1" applyAlignment="1">
      <alignment horizontal="left"/>
    </xf>
    <xf numFmtId="10" fontId="0" fillId="6" borderId="11" xfId="0" applyNumberFormat="1" applyFill="1" applyBorder="1" applyAlignment="1">
      <alignment horizontal="center" vertical="center"/>
    </xf>
    <xf numFmtId="10" fontId="0" fillId="6" borderId="14" xfId="0" applyNumberFormat="1" applyFill="1" applyBorder="1" applyAlignment="1">
      <alignment horizontal="center" vertical="center"/>
    </xf>
    <xf numFmtId="0" fontId="27" fillId="4" borderId="0" xfId="0" applyFont="1" applyFill="1" applyAlignment="1">
      <alignment horizontal="left" vertical="center" readingOrder="1"/>
    </xf>
    <xf numFmtId="0" fontId="27" fillId="4" borderId="0" xfId="0" applyFont="1" applyFill="1" applyAlignment="1">
      <alignment horizontal="left" vertical="center" wrapText="1" readingOrder="1"/>
    </xf>
    <xf numFmtId="164" fontId="37" fillId="0" borderId="6" xfId="0" applyNumberFormat="1" applyFont="1" applyBorder="1" applyAlignment="1">
      <alignment horizontal="center"/>
    </xf>
    <xf numFmtId="164" fontId="37" fillId="0" borderId="0" xfId="0" applyNumberFormat="1" applyFont="1" applyAlignment="1">
      <alignment horizontal="center"/>
    </xf>
    <xf numFmtId="169" fontId="31" fillId="8" borderId="11" xfId="0" applyNumberFormat="1" applyFont="1" applyFill="1" applyBorder="1" applyAlignment="1">
      <alignment horizontal="center" readingOrder="2"/>
    </xf>
    <xf numFmtId="169" fontId="31" fillId="8" borderId="14" xfId="0" applyNumberFormat="1" applyFont="1" applyFill="1" applyBorder="1" applyAlignment="1">
      <alignment horizontal="center" readingOrder="2"/>
    </xf>
    <xf numFmtId="0" fontId="26" fillId="7" borderId="14" xfId="0" applyFont="1" applyFill="1" applyBorder="1" applyAlignment="1">
      <alignment horizontal="left" vertical="center" readingOrder="1"/>
    </xf>
    <xf numFmtId="0" fontId="6" fillId="0" borderId="0" xfId="0" applyFont="1" applyAlignment="1">
      <alignment horizontal="left"/>
    </xf>
    <xf numFmtId="0" fontId="6" fillId="4" borderId="0" xfId="0" applyFont="1" applyFill="1" applyAlignment="1">
      <alignment horizontal="left"/>
    </xf>
    <xf numFmtId="0" fontId="2" fillId="5" borderId="12" xfId="0" applyFont="1" applyFill="1" applyBorder="1" applyAlignment="1">
      <alignment horizontal="center" vertical="center" wrapText="1"/>
    </xf>
    <xf numFmtId="0" fontId="2" fillId="5" borderId="26" xfId="0" applyFont="1" applyFill="1" applyBorder="1" applyAlignment="1">
      <alignment horizontal="center" vertical="center" wrapText="1"/>
    </xf>
    <xf numFmtId="0" fontId="6" fillId="4" borderId="3" xfId="0" quotePrefix="1" applyFont="1" applyFill="1" applyBorder="1" applyAlignment="1">
      <alignment horizontal="left" vertical="center"/>
    </xf>
    <xf numFmtId="169" fontId="0" fillId="0" borderId="11" xfId="0" applyNumberFormat="1" applyBorder="1" applyAlignment="1" applyProtection="1">
      <alignment horizontal="center" vertical="center"/>
      <protection locked="0"/>
    </xf>
    <xf numFmtId="169" fontId="0" fillId="0" borderId="14" xfId="0" applyNumberFormat="1" applyBorder="1" applyAlignment="1" applyProtection="1">
      <alignment horizontal="center" vertical="center"/>
      <protection locked="0"/>
    </xf>
    <xf numFmtId="0" fontId="5" fillId="0" borderId="0" xfId="0" applyFont="1" applyAlignment="1">
      <alignment horizontal="left" vertical="center"/>
    </xf>
    <xf numFmtId="164" fontId="39" fillId="6" borderId="11" xfId="0" applyNumberFormat="1" applyFont="1" applyFill="1" applyBorder="1" applyAlignment="1">
      <alignment horizontal="center" vertical="center"/>
    </xf>
    <xf numFmtId="164" fontId="39" fillId="6" borderId="14" xfId="0" applyNumberFormat="1" applyFont="1" applyFill="1" applyBorder="1" applyAlignment="1">
      <alignment horizontal="center" vertical="center"/>
    </xf>
    <xf numFmtId="164" fontId="0" fillId="6" borderId="11" xfId="0" applyNumberFormat="1" applyFill="1" applyBorder="1" applyAlignment="1">
      <alignment horizontal="left" vertical="center"/>
    </xf>
    <xf numFmtId="164" fontId="0" fillId="6" borderId="13" xfId="0" applyNumberFormat="1" applyFill="1" applyBorder="1" applyAlignment="1">
      <alignment horizontal="left" vertical="center"/>
    </xf>
    <xf numFmtId="164" fontId="0" fillId="6" borderId="14" xfId="0" applyNumberFormat="1" applyFill="1" applyBorder="1" applyAlignment="1">
      <alignment horizontal="left" vertical="center"/>
    </xf>
    <xf numFmtId="0" fontId="2" fillId="5" borderId="5" xfId="0" applyFont="1" applyFill="1" applyBorder="1" applyAlignment="1">
      <alignment horizontal="left" vertical="center" wrapText="1"/>
    </xf>
    <xf numFmtId="0" fontId="2"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164" fontId="0" fillId="0" borderId="11" xfId="0" applyNumberFormat="1" applyBorder="1" applyAlignment="1" applyProtection="1">
      <alignment horizontal="left" vertical="center"/>
      <protection locked="0"/>
    </xf>
    <xf numFmtId="164" fontId="0" fillId="0" borderId="14" xfId="0" applyNumberFormat="1" applyBorder="1" applyAlignment="1" applyProtection="1">
      <alignment horizontal="left" vertical="center"/>
      <protection locked="0"/>
    </xf>
    <xf numFmtId="0" fontId="0" fillId="9" borderId="11" xfId="0" applyFill="1" applyBorder="1" applyAlignment="1">
      <alignment vertical="center" readingOrder="1"/>
    </xf>
    <xf numFmtId="0" fontId="0" fillId="9" borderId="13" xfId="0" applyFill="1" applyBorder="1" applyAlignment="1">
      <alignment vertical="center" readingOrder="1"/>
    </xf>
    <xf numFmtId="0" fontId="0" fillId="9" borderId="14" xfId="0" applyFill="1" applyBorder="1" applyAlignment="1">
      <alignment vertical="center" readingOrder="1"/>
    </xf>
    <xf numFmtId="0" fontId="0" fillId="9" borderId="11" xfId="0" applyFill="1" applyBorder="1" applyAlignment="1">
      <alignment horizontal="left" vertical="center" readingOrder="1"/>
    </xf>
    <xf numFmtId="0" fontId="0" fillId="9" borderId="13" xfId="0" applyFill="1" applyBorder="1" applyAlignment="1">
      <alignment horizontal="left" vertical="center" readingOrder="1"/>
    </xf>
    <xf numFmtId="0" fontId="0" fillId="9" borderId="14" xfId="0" applyFill="1" applyBorder="1" applyAlignment="1">
      <alignment horizontal="left" vertical="center" readingOrder="1"/>
    </xf>
    <xf numFmtId="164" fontId="0" fillId="0" borderId="13" xfId="0" applyNumberFormat="1" applyBorder="1" applyAlignment="1" applyProtection="1">
      <alignment horizontal="left" vertical="center"/>
      <protection locked="0"/>
    </xf>
    <xf numFmtId="0" fontId="2" fillId="5" borderId="11"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4"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2" fillId="5" borderId="19" xfId="0" applyFont="1" applyFill="1" applyBorder="1" applyAlignment="1">
      <alignment horizontal="left" vertical="center" wrapText="1"/>
    </xf>
    <xf numFmtId="164" fontId="0" fillId="6" borderId="18" xfId="0" applyNumberFormat="1" applyFill="1" applyBorder="1" applyAlignment="1">
      <alignment horizontal="left" vertical="center"/>
    </xf>
    <xf numFmtId="164" fontId="0" fillId="6" borderId="19" xfId="0" applyNumberFormat="1" applyFill="1" applyBorder="1" applyAlignment="1">
      <alignment horizontal="left" vertical="center"/>
    </xf>
    <xf numFmtId="164" fontId="0" fillId="6" borderId="20" xfId="0" applyNumberFormat="1" applyFill="1" applyBorder="1" applyAlignment="1">
      <alignment horizontal="left" vertical="center"/>
    </xf>
    <xf numFmtId="0" fontId="2" fillId="5" borderId="6" xfId="0" applyFont="1" applyFill="1" applyBorder="1" applyAlignment="1">
      <alignment horizontal="left" vertical="center" wrapText="1"/>
    </xf>
    <xf numFmtId="0" fontId="2" fillId="5" borderId="0" xfId="0" applyFont="1" applyFill="1" applyAlignment="1">
      <alignment horizontal="left" vertical="center" wrapText="1"/>
    </xf>
    <xf numFmtId="0" fontId="2" fillId="5" borderId="7" xfId="0" applyFont="1" applyFill="1" applyBorder="1" applyAlignment="1">
      <alignment horizontal="left" vertical="center" wrapText="1"/>
    </xf>
  </cellXfs>
  <cellStyles count="6">
    <cellStyle name="Comma" xfId="4" builtinId="3"/>
    <cellStyle name="Historical inputs" xfId="1" xr:uid="{00000000-0005-0000-0000-000001000000}"/>
    <cellStyle name="Hyperlink" xfId="3" builtinId="8"/>
    <cellStyle name="Normal" xfId="0" builtinId="0"/>
    <cellStyle name="Normal 2" xfId="5" xr:uid="{C58CF6CF-C039-41A4-AC4F-36242E3DC8CF}"/>
    <cellStyle name="Percent" xfId="2" builtinId="5"/>
  </cellStyles>
  <dxfs count="5">
    <dxf>
      <fill>
        <patternFill patternType="none">
          <bgColor auto="1"/>
        </patternFill>
      </fill>
    </dxf>
    <dxf>
      <fill>
        <patternFill patternType="none">
          <bgColor auto="1"/>
        </patternFill>
      </fill>
    </dxf>
    <dxf>
      <fill>
        <patternFill patternType="none">
          <bgColor auto="1"/>
        </patternFill>
      </fill>
    </dxf>
    <dxf>
      <font>
        <color theme="0" tint="-0.499984740745262"/>
      </font>
      <fill>
        <patternFill>
          <bgColor theme="0" tint="-0.499984740745262"/>
        </patternFill>
      </fill>
    </dxf>
    <dxf>
      <font>
        <color theme="0" tint="-0.499984740745262"/>
      </font>
      <fill>
        <patternFill>
          <bgColor theme="0" tint="-0.499984740745262"/>
        </patternFill>
      </fill>
    </dxf>
  </dxfs>
  <tableStyles count="0" defaultTableStyle="TableStyleMedium2" defaultPivotStyle="PivotStyleLight16"/>
  <colors>
    <mruColors>
      <color rgb="FF16284D"/>
      <color rgb="FF3561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14</xdr:col>
      <xdr:colOff>140494</xdr:colOff>
      <xdr:row>14</xdr:row>
      <xdr:rowOff>11907</xdr:rowOff>
    </xdr:from>
    <xdr:to>
      <xdr:col>16</xdr:col>
      <xdr:colOff>511970</xdr:colOff>
      <xdr:row>15</xdr:row>
      <xdr:rowOff>45244</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13118307" y="3643313"/>
          <a:ext cx="1264444" cy="22383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endParaRPr lang="en-US"/>
        </a:p>
      </xdr:txBody>
    </xdr:sp>
    <xdr:clientData/>
  </xdr:twoCellAnchor>
  <xdr:twoCellAnchor editAs="oneCell">
    <xdr:from>
      <xdr:col>1</xdr:col>
      <xdr:colOff>95250</xdr:colOff>
      <xdr:row>0</xdr:row>
      <xdr:rowOff>94965</xdr:rowOff>
    </xdr:from>
    <xdr:to>
      <xdr:col>3</xdr:col>
      <xdr:colOff>642938</xdr:colOff>
      <xdr:row>5</xdr:row>
      <xdr:rowOff>196207</xdr:rowOff>
    </xdr:to>
    <xdr:pic>
      <xdr:nvPicPr>
        <xdr:cNvPr id="6" name="Picture 5" descr="Related image">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2167" y="94965"/>
          <a:ext cx="2410354" cy="1275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2:U48"/>
  <sheetViews>
    <sheetView showGridLines="0" tabSelected="1" zoomScaleNormal="100" workbookViewId="0"/>
  </sheetViews>
  <sheetFormatPr defaultColWidth="8.85546875" defaultRowHeight="14.25"/>
  <cols>
    <col min="1" max="1" width="4.42578125" style="57" customWidth="1"/>
    <col min="2" max="11" width="13.42578125" style="57" customWidth="1"/>
    <col min="12" max="12" width="15.7109375" style="57" customWidth="1"/>
    <col min="13" max="13" width="12.85546875" style="57" customWidth="1"/>
    <col min="14" max="14" width="4.42578125" style="57" customWidth="1"/>
    <col min="15" max="15" width="2.5703125" style="57" customWidth="1"/>
    <col min="16" max="16" width="9.140625" style="57" customWidth="1"/>
    <col min="17" max="18" width="18.42578125" style="57" customWidth="1"/>
    <col min="19" max="19" width="3.42578125" style="57" customWidth="1"/>
    <col min="20" max="25" width="8.85546875" style="57"/>
    <col min="26" max="26" width="20.42578125" style="57" customWidth="1"/>
    <col min="27" max="28" width="8.85546875" style="57"/>
    <col min="29" max="30" width="61" style="57" customWidth="1"/>
    <col min="31" max="16384" width="8.85546875" style="57"/>
  </cols>
  <sheetData>
    <row r="2" spans="2:21" ht="17.100000000000001" customHeight="1">
      <c r="F2" s="226" t="s">
        <v>278</v>
      </c>
      <c r="G2" s="226"/>
      <c r="H2" s="226"/>
      <c r="I2" s="226"/>
      <c r="J2" s="226"/>
      <c r="K2" s="226"/>
      <c r="N2" s="58"/>
      <c r="O2" s="58"/>
    </row>
    <row r="3" spans="2:21" ht="17.100000000000001" customHeight="1">
      <c r="F3" s="226"/>
      <c r="G3" s="226"/>
      <c r="H3" s="226"/>
      <c r="I3" s="226"/>
      <c r="J3" s="226"/>
      <c r="K3" s="226"/>
      <c r="L3" s="59" t="s">
        <v>139</v>
      </c>
      <c r="M3" s="59" t="s">
        <v>372</v>
      </c>
      <c r="N3" s="58"/>
      <c r="O3" s="58"/>
    </row>
    <row r="4" spans="2:21" ht="17.100000000000001" customHeight="1">
      <c r="F4" s="226"/>
      <c r="G4" s="226"/>
      <c r="H4" s="226"/>
      <c r="I4" s="226"/>
      <c r="J4" s="226"/>
      <c r="K4" s="226"/>
      <c r="L4" s="59" t="s">
        <v>140</v>
      </c>
      <c r="M4" s="59" t="s">
        <v>371</v>
      </c>
      <c r="N4" s="58"/>
      <c r="O4" s="58"/>
    </row>
    <row r="5" spans="2:21" ht="17.100000000000001" customHeight="1">
      <c r="F5" s="226"/>
      <c r="G5" s="226"/>
      <c r="H5" s="226"/>
      <c r="I5" s="226"/>
      <c r="J5" s="226"/>
      <c r="K5" s="226"/>
    </row>
    <row r="6" spans="2:21" ht="35.450000000000003" customHeight="1">
      <c r="F6" s="226"/>
      <c r="G6" s="226"/>
      <c r="H6" s="226"/>
      <c r="I6" s="226"/>
      <c r="J6" s="226"/>
      <c r="K6" s="226"/>
    </row>
    <row r="7" spans="2:21" ht="17.100000000000001" customHeight="1">
      <c r="F7" s="221"/>
      <c r="G7" s="221"/>
      <c r="H7" s="221"/>
      <c r="I7" s="221"/>
      <c r="J7" s="221"/>
      <c r="K7" s="221"/>
      <c r="L7" s="60"/>
    </row>
    <row r="8" spans="2:21" ht="15.6" customHeight="1"/>
    <row r="9" spans="2:21" ht="16.350000000000001" customHeight="1">
      <c r="B9" s="61" t="s">
        <v>0</v>
      </c>
      <c r="C9" s="62"/>
      <c r="D9" s="63"/>
      <c r="E9" s="63"/>
      <c r="F9" s="63"/>
      <c r="G9" s="63"/>
      <c r="H9" s="63"/>
      <c r="I9" s="63"/>
      <c r="J9" s="63"/>
      <c r="K9" s="63"/>
      <c r="L9" s="63"/>
      <c r="M9" s="63"/>
      <c r="O9" s="61" t="s">
        <v>1</v>
      </c>
      <c r="P9" s="64"/>
      <c r="Q9" s="63"/>
      <c r="R9" s="63"/>
      <c r="S9" s="63"/>
    </row>
    <row r="10" spans="2:21" ht="15.6" customHeight="1">
      <c r="B10" s="215" t="s">
        <v>205</v>
      </c>
      <c r="C10" s="216"/>
      <c r="D10" s="216"/>
      <c r="E10" s="216"/>
      <c r="F10" s="216"/>
      <c r="G10" s="216"/>
      <c r="H10" s="216"/>
      <c r="I10" s="216"/>
      <c r="J10" s="216"/>
      <c r="K10" s="216"/>
      <c r="L10" s="216"/>
      <c r="M10" s="217"/>
      <c r="O10" s="65"/>
      <c r="S10" s="66"/>
    </row>
    <row r="11" spans="2:21" ht="15.6" customHeight="1">
      <c r="B11" s="218"/>
      <c r="C11" s="219"/>
      <c r="D11" s="219"/>
      <c r="E11" s="219"/>
      <c r="F11" s="219"/>
      <c r="G11" s="219"/>
      <c r="H11" s="219"/>
      <c r="I11" s="219"/>
      <c r="J11" s="219"/>
      <c r="K11" s="219"/>
      <c r="L11" s="219"/>
      <c r="M11" s="220"/>
      <c r="O11" s="65"/>
      <c r="P11" s="67" t="s">
        <v>2</v>
      </c>
      <c r="Q11" s="68" t="s">
        <v>3</v>
      </c>
      <c r="R11" s="68"/>
      <c r="S11" s="66"/>
      <c r="U11" s="69"/>
    </row>
    <row r="12" spans="2:21" ht="15.6" customHeight="1">
      <c r="B12" s="218"/>
      <c r="C12" s="219"/>
      <c r="D12" s="219"/>
      <c r="E12" s="219"/>
      <c r="F12" s="219"/>
      <c r="G12" s="219"/>
      <c r="H12" s="219"/>
      <c r="I12" s="219"/>
      <c r="J12" s="219"/>
      <c r="K12" s="219"/>
      <c r="L12" s="219"/>
      <c r="M12" s="220"/>
      <c r="O12" s="65"/>
      <c r="P12" s="70" t="s">
        <v>2</v>
      </c>
      <c r="Q12" s="68" t="s">
        <v>4</v>
      </c>
      <c r="R12" s="68"/>
      <c r="S12" s="66"/>
    </row>
    <row r="13" spans="2:21" ht="15.6" customHeight="1">
      <c r="B13" s="218"/>
      <c r="C13" s="219"/>
      <c r="D13" s="219"/>
      <c r="E13" s="219"/>
      <c r="F13" s="219"/>
      <c r="G13" s="219"/>
      <c r="H13" s="219"/>
      <c r="I13" s="219"/>
      <c r="J13" s="219"/>
      <c r="K13" s="219"/>
      <c r="L13" s="219"/>
      <c r="M13" s="220"/>
      <c r="O13" s="65"/>
      <c r="P13" s="71" t="s">
        <v>2</v>
      </c>
      <c r="Q13" s="68" t="s">
        <v>5</v>
      </c>
      <c r="R13" s="68"/>
      <c r="S13" s="66"/>
    </row>
    <row r="14" spans="2:21" ht="15.6" customHeight="1">
      <c r="B14" s="218"/>
      <c r="C14" s="219"/>
      <c r="D14" s="219"/>
      <c r="E14" s="219"/>
      <c r="F14" s="219"/>
      <c r="G14" s="219"/>
      <c r="H14" s="219"/>
      <c r="I14" s="219"/>
      <c r="J14" s="219"/>
      <c r="K14" s="219"/>
      <c r="L14" s="219"/>
      <c r="M14" s="220"/>
      <c r="O14" s="65"/>
      <c r="P14" s="72" t="s">
        <v>2</v>
      </c>
      <c r="Q14" s="73" t="s">
        <v>6</v>
      </c>
      <c r="R14" s="73"/>
      <c r="S14" s="66"/>
    </row>
    <row r="15" spans="2:21" ht="15.6" customHeight="1">
      <c r="B15" s="218"/>
      <c r="C15" s="219"/>
      <c r="D15" s="219"/>
      <c r="E15" s="219"/>
      <c r="F15" s="219"/>
      <c r="G15" s="219"/>
      <c r="H15" s="219"/>
      <c r="I15" s="219"/>
      <c r="J15" s="219"/>
      <c r="K15" s="219"/>
      <c r="L15" s="219"/>
      <c r="M15" s="220"/>
      <c r="O15" s="65"/>
      <c r="P15" s="74"/>
      <c r="Q15" s="68"/>
      <c r="R15" s="68"/>
      <c r="S15" s="66"/>
    </row>
    <row r="16" spans="2:21" ht="15.6" customHeight="1">
      <c r="B16" s="218"/>
      <c r="C16" s="219"/>
      <c r="D16" s="219"/>
      <c r="E16" s="219"/>
      <c r="F16" s="219"/>
      <c r="G16" s="219"/>
      <c r="H16" s="219"/>
      <c r="I16" s="219"/>
      <c r="J16" s="219"/>
      <c r="K16" s="219"/>
      <c r="L16" s="219"/>
      <c r="M16" s="220"/>
      <c r="O16" s="75"/>
      <c r="P16" s="76"/>
      <c r="Q16" s="77"/>
      <c r="R16" s="77"/>
      <c r="S16" s="78"/>
    </row>
    <row r="17" spans="1:19" ht="15.6" customHeight="1"/>
    <row r="18" spans="1:19" ht="16.350000000000001" customHeight="1">
      <c r="B18" s="61" t="s">
        <v>7</v>
      </c>
      <c r="C18" s="79"/>
      <c r="D18" s="79"/>
      <c r="E18" s="79"/>
      <c r="F18" s="61" t="s">
        <v>8</v>
      </c>
      <c r="G18" s="63"/>
      <c r="H18" s="63"/>
      <c r="I18" s="63"/>
      <c r="J18" s="63"/>
      <c r="K18" s="63"/>
      <c r="L18" s="63"/>
      <c r="M18" s="63"/>
      <c r="N18" s="63"/>
      <c r="O18" s="63"/>
      <c r="P18" s="63"/>
      <c r="Q18" s="63"/>
      <c r="R18" s="63"/>
      <c r="S18" s="63"/>
    </row>
    <row r="19" spans="1:19" ht="15.6" customHeight="1">
      <c r="A19" s="80"/>
      <c r="B19" s="227" t="s">
        <v>9</v>
      </c>
      <c r="C19" s="228"/>
      <c r="D19" s="228"/>
      <c r="E19" s="228"/>
      <c r="F19" s="222" t="s">
        <v>197</v>
      </c>
      <c r="G19" s="222"/>
      <c r="H19" s="222"/>
      <c r="I19" s="222"/>
      <c r="J19" s="222"/>
      <c r="K19" s="222"/>
      <c r="L19" s="222"/>
      <c r="M19" s="222"/>
      <c r="N19" s="222"/>
      <c r="O19" s="222"/>
      <c r="P19" s="222"/>
      <c r="Q19" s="222"/>
      <c r="R19" s="222"/>
      <c r="S19" s="223"/>
    </row>
    <row r="20" spans="1:19" ht="15.6" customHeight="1">
      <c r="A20" s="80"/>
      <c r="B20" s="224" t="s">
        <v>10</v>
      </c>
      <c r="C20" s="225"/>
      <c r="D20" s="225"/>
      <c r="E20" s="225"/>
      <c r="F20" s="222" t="s">
        <v>198</v>
      </c>
      <c r="G20" s="222"/>
      <c r="H20" s="222"/>
      <c r="I20" s="222"/>
      <c r="J20" s="222"/>
      <c r="K20" s="222"/>
      <c r="L20" s="222"/>
      <c r="M20" s="222"/>
      <c r="N20" s="222"/>
      <c r="O20" s="222"/>
      <c r="P20" s="222"/>
      <c r="Q20" s="222"/>
      <c r="R20" s="222"/>
      <c r="S20" s="223"/>
    </row>
    <row r="21" spans="1:19" ht="15.6" customHeight="1">
      <c r="A21" s="80"/>
      <c r="B21" s="224" t="s">
        <v>11</v>
      </c>
      <c r="C21" s="225"/>
      <c r="D21" s="225"/>
      <c r="E21" s="225"/>
      <c r="F21" s="222" t="s">
        <v>199</v>
      </c>
      <c r="G21" s="222"/>
      <c r="H21" s="222"/>
      <c r="I21" s="222"/>
      <c r="J21" s="222"/>
      <c r="K21" s="222"/>
      <c r="L21" s="222"/>
      <c r="M21" s="222"/>
      <c r="N21" s="222"/>
      <c r="O21" s="222"/>
      <c r="P21" s="222"/>
      <c r="Q21" s="222"/>
      <c r="R21" s="222"/>
      <c r="S21" s="223"/>
    </row>
    <row r="22" spans="1:19" ht="15.6" customHeight="1">
      <c r="A22" s="80"/>
      <c r="B22" s="224" t="s">
        <v>12</v>
      </c>
      <c r="C22" s="225"/>
      <c r="D22" s="225"/>
      <c r="E22" s="225"/>
      <c r="F22" s="222" t="s">
        <v>200</v>
      </c>
      <c r="G22" s="222"/>
      <c r="H22" s="222"/>
      <c r="I22" s="222"/>
      <c r="J22" s="222"/>
      <c r="K22" s="222"/>
      <c r="L22" s="222"/>
      <c r="M22" s="222"/>
      <c r="N22" s="222"/>
      <c r="O22" s="222"/>
      <c r="P22" s="222"/>
      <c r="Q22" s="222"/>
      <c r="R22" s="222"/>
      <c r="S22" s="223"/>
    </row>
    <row r="23" spans="1:19" ht="15.6" customHeight="1">
      <c r="A23" s="80"/>
      <c r="B23" s="224" t="s">
        <v>279</v>
      </c>
      <c r="C23" s="225"/>
      <c r="D23" s="225"/>
      <c r="E23" s="225"/>
      <c r="F23" s="222" t="s">
        <v>280</v>
      </c>
      <c r="G23" s="222"/>
      <c r="H23" s="222"/>
      <c r="I23" s="222"/>
      <c r="J23" s="222"/>
      <c r="K23" s="222"/>
      <c r="L23" s="222"/>
      <c r="M23" s="222"/>
      <c r="N23" s="222"/>
      <c r="O23" s="222"/>
      <c r="P23" s="222"/>
      <c r="Q23" s="222"/>
      <c r="R23" s="222"/>
      <c r="S23" s="223"/>
    </row>
    <row r="24" spans="1:19" ht="15.6" customHeight="1">
      <c r="A24" s="80"/>
      <c r="B24" s="224" t="s">
        <v>171</v>
      </c>
      <c r="C24" s="225"/>
      <c r="D24" s="225"/>
      <c r="E24" s="225"/>
      <c r="F24" s="222" t="s">
        <v>201</v>
      </c>
      <c r="G24" s="222"/>
      <c r="H24" s="222"/>
      <c r="I24" s="222"/>
      <c r="J24" s="222"/>
      <c r="K24" s="222"/>
      <c r="L24" s="222"/>
      <c r="M24" s="222"/>
      <c r="N24" s="222"/>
      <c r="O24" s="222"/>
      <c r="P24" s="222"/>
      <c r="Q24" s="222"/>
      <c r="R24" s="222"/>
      <c r="S24" s="223"/>
    </row>
    <row r="25" spans="1:19" ht="15.6" customHeight="1">
      <c r="A25" s="80"/>
      <c r="B25" s="224" t="s">
        <v>172</v>
      </c>
      <c r="C25" s="225"/>
      <c r="D25" s="225"/>
      <c r="E25" s="225"/>
      <c r="F25" s="222" t="s">
        <v>202</v>
      </c>
      <c r="G25" s="222"/>
      <c r="H25" s="222"/>
      <c r="I25" s="222"/>
      <c r="J25" s="222"/>
      <c r="K25" s="222"/>
      <c r="L25" s="222"/>
      <c r="M25" s="222"/>
      <c r="N25" s="222"/>
      <c r="O25" s="222"/>
      <c r="P25" s="222"/>
      <c r="Q25" s="222"/>
      <c r="R25" s="222"/>
      <c r="S25" s="223"/>
    </row>
    <row r="26" spans="1:19" ht="15.6" customHeight="1">
      <c r="A26" s="80"/>
      <c r="B26" s="224" t="s">
        <v>173</v>
      </c>
      <c r="C26" s="225"/>
      <c r="D26" s="225"/>
      <c r="E26" s="225"/>
      <c r="F26" s="222" t="s">
        <v>203</v>
      </c>
      <c r="G26" s="222"/>
      <c r="H26" s="222"/>
      <c r="I26" s="222"/>
      <c r="J26" s="222"/>
      <c r="K26" s="222"/>
      <c r="L26" s="222"/>
      <c r="M26" s="222"/>
      <c r="N26" s="222"/>
      <c r="O26" s="222"/>
      <c r="P26" s="222"/>
      <c r="Q26" s="222"/>
      <c r="R26" s="222"/>
      <c r="S26" s="223"/>
    </row>
    <row r="27" spans="1:19" ht="15.6" customHeight="1">
      <c r="A27" s="80"/>
      <c r="B27" s="224" t="s">
        <v>13</v>
      </c>
      <c r="C27" s="225"/>
      <c r="D27" s="225"/>
      <c r="E27" s="225"/>
      <c r="F27" s="222" t="s">
        <v>207</v>
      </c>
      <c r="G27" s="222"/>
      <c r="H27" s="222"/>
      <c r="I27" s="222"/>
      <c r="J27" s="222"/>
      <c r="K27" s="222"/>
      <c r="L27" s="222"/>
      <c r="M27" s="222"/>
      <c r="N27" s="222"/>
      <c r="O27" s="222"/>
      <c r="P27" s="222"/>
      <c r="Q27" s="222"/>
      <c r="R27" s="222"/>
      <c r="S27" s="223"/>
    </row>
    <row r="28" spans="1:19" ht="15.6" customHeight="1">
      <c r="A28" s="80"/>
      <c r="B28" s="224" t="s">
        <v>14</v>
      </c>
      <c r="C28" s="225"/>
      <c r="D28" s="225"/>
      <c r="E28" s="225"/>
      <c r="F28" s="222" t="s">
        <v>204</v>
      </c>
      <c r="G28" s="222"/>
      <c r="H28" s="222"/>
      <c r="I28" s="222"/>
      <c r="J28" s="222"/>
      <c r="K28" s="222"/>
      <c r="L28" s="222"/>
      <c r="M28" s="222"/>
      <c r="N28" s="222"/>
      <c r="O28" s="222"/>
      <c r="P28" s="222"/>
      <c r="Q28" s="222"/>
      <c r="R28" s="222"/>
      <c r="S28" s="223"/>
    </row>
    <row r="30" spans="1:19" ht="19.5" customHeight="1">
      <c r="B30" s="80" t="s">
        <v>138</v>
      </c>
    </row>
    <row r="44" spans="2:2">
      <c r="B44" s="81"/>
    </row>
    <row r="45" spans="2:2">
      <c r="B45" s="81"/>
    </row>
    <row r="46" spans="2:2">
      <c r="B46" s="81"/>
    </row>
    <row r="47" spans="2:2">
      <c r="B47" s="81"/>
    </row>
    <row r="48" spans="2:2">
      <c r="B48" s="81"/>
    </row>
  </sheetData>
  <customSheetViews>
    <customSheetView guid="{475135EF-B9F1-482D-ABF1-1E525C0245D4}" scale="67" showGridLines="0">
      <selection activeCell="B10" sqref="B10:M16"/>
      <pageMargins left="0" right="0" top="0" bottom="0" header="0" footer="0"/>
      <pageSetup paperSize="9" orientation="portrait" r:id="rId1"/>
    </customSheetView>
  </customSheetViews>
  <mergeCells count="23">
    <mergeCell ref="F2:K6"/>
    <mergeCell ref="B28:E28"/>
    <mergeCell ref="F28:S28"/>
    <mergeCell ref="F26:S26"/>
    <mergeCell ref="F25:S25"/>
    <mergeCell ref="B19:E19"/>
    <mergeCell ref="B26:E26"/>
    <mergeCell ref="F20:S20"/>
    <mergeCell ref="F22:S22"/>
    <mergeCell ref="F21:S21"/>
    <mergeCell ref="B22:E22"/>
    <mergeCell ref="B20:E20"/>
    <mergeCell ref="B25:E25"/>
    <mergeCell ref="B27:E27"/>
    <mergeCell ref="F27:S27"/>
    <mergeCell ref="B21:E21"/>
    <mergeCell ref="B10:M16"/>
    <mergeCell ref="F7:K7"/>
    <mergeCell ref="F19:S19"/>
    <mergeCell ref="B24:E24"/>
    <mergeCell ref="F24:S24"/>
    <mergeCell ref="B23:E23"/>
    <mergeCell ref="F23:S23"/>
  </mergeCells>
  <hyperlinks>
    <hyperlink ref="B19:E19" location="'Section 1. General Information'!A1" display="Section 1. General Information" xr:uid="{00000000-0004-0000-0000-000000000000}"/>
    <hyperlink ref="B20:E20" location="'Section 2. Evaluation'!A1" display="Section 2. Evaluation " xr:uid="{00000000-0004-0000-0000-000001000000}"/>
    <hyperlink ref="B21:E21" location="'Section 3. Labor'!A1" display="Section 3. Labor" xr:uid="{00000000-0004-0000-0000-000002000000}"/>
    <hyperlink ref="B22:E22" location="'Section 4. Goods and Services'!A1" display="Section 4. Goods &amp; Services" xr:uid="{00000000-0004-0000-0000-000003000000}"/>
    <hyperlink ref="B25:E25" location="'Section 6. Capacity Building'!A1" display="Section 6. Capacity Building" xr:uid="{00000000-0004-0000-0000-000004000000}"/>
    <hyperlink ref="B26:E26" location="'Section 7. Depreciation &amp; Amor.'!A1" display="Section 7. Depreciation and Amortization" xr:uid="{00000000-0004-0000-0000-000005000000}"/>
    <hyperlink ref="B28:E28" location="'Appendix B'!A1" display="Appendix B." xr:uid="{00000000-0004-0000-0000-000006000000}"/>
    <hyperlink ref="B27:E27" location="'Appendix A'!A1" display="Appendix A." xr:uid="{00000000-0004-0000-0000-000007000000}"/>
    <hyperlink ref="B24:E24" location="'Section 5. CAPEX'!A1" display="Section 5. CAPEX" xr:uid="{6B88DAB2-069D-4D2B-8BDD-904B4626FC42}"/>
    <hyperlink ref="B23:E23" location="'Section 4.1 Extra Disclosure'!A1" display="Section 4.1. Extra Disclosure" xr:uid="{67DE62FA-398D-4730-8899-7D928177151F}"/>
  </hyperlinks>
  <pageMargins left="0.7" right="0.7" top="0.75" bottom="0.75" header="0.3" footer="0.3"/>
  <pageSetup paperSize="9" orientation="portrait" r:id="rId2"/>
  <headerFooter>
    <oddHeader>&amp;C&amp;"Times New Roman,Regular"&amp;12&amp;K99CC00Public - عام</oddHeader>
    <evenHeader>&amp;C&amp;"Times New Roman,Regular"&amp;12&amp;K99CC00Public - عام</evenHeader>
    <firstHeader>&amp;C&amp;"Times New Roman,Regular"&amp;12&amp;K99CC00Public - عام</firstHead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R49"/>
  <sheetViews>
    <sheetView showGridLines="0" zoomScaleNormal="100" workbookViewId="0"/>
  </sheetViews>
  <sheetFormatPr defaultColWidth="8.85546875" defaultRowHeight="15"/>
  <cols>
    <col min="1" max="1" width="4.42578125" style="1" customWidth="1"/>
    <col min="2" max="2" width="60.42578125" style="1" customWidth="1"/>
    <col min="3" max="3" width="30.85546875" style="1" customWidth="1"/>
    <col min="4" max="4" width="99.28515625" style="1" customWidth="1"/>
    <col min="5" max="5" width="8.42578125" style="1" customWidth="1"/>
    <col min="6" max="10" width="12.140625" style="1" customWidth="1"/>
    <col min="11" max="16384" width="8.85546875" style="1"/>
  </cols>
  <sheetData>
    <row r="1" spans="2:18" ht="28.5">
      <c r="B1" s="55" t="s">
        <v>15</v>
      </c>
    </row>
    <row r="2" spans="2:18" ht="21.6" customHeight="1">
      <c r="B2" s="198" t="s">
        <v>208</v>
      </c>
      <c r="C2" s="198"/>
      <c r="D2" s="198"/>
    </row>
    <row r="3" spans="2:18" ht="20.45" customHeight="1">
      <c r="B3" s="16" t="s">
        <v>206</v>
      </c>
      <c r="C3" s="240"/>
      <c r="D3" s="241"/>
      <c r="F3" s="229"/>
      <c r="G3" s="229"/>
      <c r="H3" s="229"/>
      <c r="I3" s="229"/>
      <c r="J3" s="229"/>
      <c r="K3" s="229"/>
      <c r="L3" s="229"/>
      <c r="M3" s="229"/>
      <c r="N3" s="229"/>
      <c r="O3" s="229"/>
      <c r="P3" s="229"/>
      <c r="Q3" s="229"/>
      <c r="R3" s="229"/>
    </row>
    <row r="4" spans="2:18" ht="20.45" customHeight="1">
      <c r="B4" s="16" t="s">
        <v>16</v>
      </c>
      <c r="C4" s="240"/>
      <c r="D4" s="241"/>
      <c r="F4" s="229"/>
      <c r="G4" s="229"/>
      <c r="H4" s="229"/>
      <c r="I4" s="229"/>
      <c r="J4" s="229"/>
      <c r="K4" s="229"/>
      <c r="L4" s="229"/>
      <c r="M4" s="229"/>
      <c r="N4" s="229"/>
      <c r="O4" s="229"/>
      <c r="P4" s="229"/>
      <c r="Q4" s="229"/>
      <c r="R4" s="229"/>
    </row>
    <row r="5" spans="2:18" ht="20.45" customHeight="1">
      <c r="B5" s="16" t="s">
        <v>17</v>
      </c>
      <c r="C5" s="232"/>
      <c r="D5" s="233"/>
      <c r="F5" s="229"/>
      <c r="G5" s="229"/>
      <c r="H5" s="229"/>
      <c r="I5" s="229"/>
      <c r="J5" s="229"/>
      <c r="K5" s="229"/>
      <c r="L5" s="229"/>
      <c r="M5" s="229"/>
      <c r="N5" s="229"/>
      <c r="O5" s="229"/>
      <c r="P5" s="229"/>
      <c r="Q5" s="229"/>
      <c r="R5" s="229"/>
    </row>
    <row r="6" spans="2:18" ht="20.45" customHeight="1">
      <c r="B6" s="16" t="s">
        <v>18</v>
      </c>
      <c r="C6" s="234"/>
      <c r="D6" s="235"/>
      <c r="F6" s="229"/>
      <c r="G6" s="229"/>
      <c r="H6" s="229"/>
      <c r="I6" s="229"/>
      <c r="J6" s="229"/>
      <c r="K6" s="229"/>
      <c r="L6" s="229"/>
      <c r="M6" s="229"/>
      <c r="N6" s="229"/>
      <c r="O6" s="229"/>
      <c r="P6" s="229"/>
      <c r="Q6" s="229"/>
      <c r="R6" s="229"/>
    </row>
    <row r="7" spans="2:18" ht="20.45" customHeight="1">
      <c r="B7" s="2"/>
      <c r="C7" s="83"/>
      <c r="D7" s="83"/>
      <c r="F7" s="82"/>
      <c r="G7" s="82"/>
      <c r="H7" s="82"/>
      <c r="I7" s="82"/>
      <c r="J7" s="82"/>
      <c r="K7" s="82"/>
      <c r="L7" s="82"/>
      <c r="M7" s="82"/>
      <c r="N7" s="82"/>
      <c r="O7" s="82"/>
      <c r="P7" s="82"/>
      <c r="Q7" s="82"/>
      <c r="R7" s="82"/>
    </row>
    <row r="8" spans="2:18" ht="20.45" customHeight="1">
      <c r="B8" s="198" t="s">
        <v>19</v>
      </c>
      <c r="C8" s="198"/>
      <c r="D8" s="198"/>
      <c r="F8" s="82"/>
      <c r="G8" s="82"/>
      <c r="H8" s="82"/>
      <c r="I8" s="82"/>
      <c r="J8" s="82"/>
      <c r="K8" s="82"/>
      <c r="L8" s="82"/>
      <c r="M8" s="82"/>
      <c r="N8" s="82"/>
      <c r="O8" s="82"/>
      <c r="P8" s="82"/>
      <c r="Q8" s="82"/>
      <c r="R8" s="82"/>
    </row>
    <row r="9" spans="2:18" ht="20.45" customHeight="1">
      <c r="B9" s="15" t="s">
        <v>210</v>
      </c>
      <c r="C9" s="230"/>
      <c r="D9" s="231"/>
      <c r="F9" s="82"/>
      <c r="G9" s="82"/>
      <c r="H9" s="82"/>
      <c r="I9" s="82"/>
      <c r="J9" s="82"/>
      <c r="K9" s="82"/>
      <c r="L9" s="82"/>
      <c r="M9" s="82"/>
      <c r="N9" s="82"/>
      <c r="O9" s="82"/>
      <c r="P9" s="82"/>
      <c r="Q9" s="82"/>
      <c r="R9" s="82"/>
    </row>
    <row r="10" spans="2:18" ht="20.45" customHeight="1">
      <c r="B10" s="16" t="s">
        <v>211</v>
      </c>
      <c r="C10" s="230"/>
      <c r="D10" s="231"/>
      <c r="F10" s="82"/>
      <c r="G10" s="82"/>
      <c r="H10" s="82"/>
      <c r="I10" s="82"/>
      <c r="J10" s="82"/>
      <c r="K10" s="82"/>
      <c r="L10" s="82"/>
      <c r="M10" s="82"/>
      <c r="N10" s="82"/>
      <c r="O10" s="82"/>
      <c r="P10" s="82"/>
      <c r="Q10" s="82"/>
      <c r="R10" s="82"/>
    </row>
    <row r="11" spans="2:18" ht="20.45" customHeight="1">
      <c r="B11" s="16" t="s">
        <v>228</v>
      </c>
      <c r="C11" s="234"/>
      <c r="D11" s="235"/>
      <c r="F11" s="82"/>
      <c r="G11" s="82"/>
      <c r="H11" s="82"/>
      <c r="I11" s="82"/>
      <c r="J11" s="82"/>
      <c r="K11" s="82"/>
      <c r="L11" s="82"/>
      <c r="M11" s="82"/>
      <c r="N11" s="82"/>
      <c r="O11" s="82"/>
      <c r="P11" s="82"/>
      <c r="Q11" s="82"/>
      <c r="R11" s="82"/>
    </row>
    <row r="12" spans="2:18" ht="20.45" customHeight="1">
      <c r="B12" s="16" t="s">
        <v>359</v>
      </c>
      <c r="C12" s="230"/>
      <c r="D12" s="231"/>
      <c r="F12" s="82"/>
      <c r="G12" s="82"/>
      <c r="H12" s="82"/>
      <c r="I12" s="82"/>
      <c r="J12" s="82"/>
      <c r="K12" s="82"/>
      <c r="L12" s="82"/>
      <c r="M12" s="82"/>
      <c r="N12" s="82"/>
      <c r="O12" s="82"/>
      <c r="P12" s="82"/>
      <c r="Q12" s="82"/>
      <c r="R12" s="82"/>
    </row>
    <row r="13" spans="2:18" ht="19.350000000000001" customHeight="1"/>
    <row r="14" spans="2:18" ht="21.6" customHeight="1">
      <c r="B14" s="198" t="s">
        <v>21</v>
      </c>
      <c r="C14" s="198"/>
      <c r="D14" s="198"/>
      <c r="F14" s="2"/>
      <c r="G14" s="2"/>
      <c r="H14" s="2"/>
      <c r="I14" s="2"/>
      <c r="J14" s="2"/>
      <c r="K14" s="2"/>
      <c r="L14" s="2"/>
      <c r="M14" s="2"/>
      <c r="N14" s="2"/>
      <c r="O14" s="2"/>
      <c r="P14" s="2"/>
      <c r="Q14" s="2"/>
      <c r="R14" s="2"/>
    </row>
    <row r="15" spans="2:18" ht="19.350000000000001" customHeight="1">
      <c r="B15" s="15" t="s">
        <v>210</v>
      </c>
      <c r="C15" s="230"/>
      <c r="D15" s="231"/>
      <c r="F15" s="229"/>
      <c r="G15" s="229"/>
      <c r="H15" s="229"/>
      <c r="I15" s="229"/>
      <c r="J15" s="229"/>
      <c r="K15" s="229"/>
      <c r="L15" s="229"/>
      <c r="M15" s="229"/>
      <c r="N15" s="229"/>
      <c r="O15" s="229"/>
      <c r="P15" s="229"/>
      <c r="Q15" s="229"/>
      <c r="R15" s="229"/>
    </row>
    <row r="16" spans="2:18" ht="19.350000000000001" customHeight="1">
      <c r="B16" s="16" t="s">
        <v>212</v>
      </c>
      <c r="C16" s="230"/>
      <c r="D16" s="231"/>
      <c r="F16" s="229"/>
      <c r="G16" s="229"/>
      <c r="H16" s="229"/>
      <c r="I16" s="229"/>
      <c r="J16" s="229"/>
      <c r="K16" s="229"/>
      <c r="L16" s="229"/>
      <c r="M16" s="229"/>
      <c r="N16" s="229"/>
      <c r="O16" s="229"/>
      <c r="P16" s="229"/>
      <c r="Q16" s="229"/>
      <c r="R16" s="229"/>
    </row>
    <row r="17" spans="1:18" ht="19.350000000000001" customHeight="1">
      <c r="B17" s="16" t="s">
        <v>213</v>
      </c>
      <c r="C17" s="230"/>
      <c r="D17" s="231"/>
      <c r="F17" s="229"/>
      <c r="G17" s="229"/>
      <c r="H17" s="229"/>
      <c r="I17" s="229"/>
      <c r="J17" s="229"/>
      <c r="K17" s="229"/>
      <c r="L17" s="229"/>
      <c r="M17" s="229"/>
      <c r="N17" s="229"/>
      <c r="O17" s="229"/>
      <c r="P17" s="229"/>
      <c r="Q17" s="229"/>
      <c r="R17" s="229"/>
    </row>
    <row r="18" spans="1:18" ht="19.350000000000001" customHeight="1">
      <c r="B18" s="16" t="s">
        <v>214</v>
      </c>
      <c r="C18" s="230"/>
      <c r="D18" s="231"/>
      <c r="F18" s="229"/>
      <c r="G18" s="229"/>
      <c r="H18" s="229"/>
      <c r="I18" s="229"/>
      <c r="J18" s="229"/>
      <c r="K18" s="229"/>
      <c r="L18" s="229"/>
      <c r="M18" s="229"/>
      <c r="N18" s="229"/>
      <c r="O18" s="229"/>
      <c r="P18" s="229"/>
      <c r="Q18" s="229"/>
      <c r="R18" s="229"/>
    </row>
    <row r="19" spans="1:18" ht="19.350000000000001" customHeight="1"/>
    <row r="20" spans="1:18" ht="21.6" customHeight="1">
      <c r="B20" s="198" t="s">
        <v>22</v>
      </c>
      <c r="C20" s="198"/>
      <c r="D20" s="198"/>
      <c r="F20" s="2"/>
      <c r="G20" s="2"/>
      <c r="H20" s="2"/>
      <c r="I20" s="2"/>
      <c r="J20" s="2"/>
      <c r="K20" s="2"/>
      <c r="L20" s="2"/>
      <c r="M20" s="2"/>
      <c r="N20" s="2"/>
      <c r="O20" s="2"/>
      <c r="P20" s="2"/>
      <c r="Q20" s="2"/>
      <c r="R20" s="2"/>
    </row>
    <row r="21" spans="1:18" ht="80.099999999999994" customHeight="1">
      <c r="B21" s="15" t="s">
        <v>209</v>
      </c>
      <c r="C21" s="230"/>
      <c r="D21" s="231"/>
      <c r="F21" s="2"/>
      <c r="G21" s="2"/>
      <c r="H21" s="2"/>
      <c r="I21" s="2"/>
      <c r="J21" s="2"/>
      <c r="K21" s="2"/>
      <c r="L21" s="2"/>
      <c r="M21" s="2"/>
      <c r="N21" s="2"/>
      <c r="O21" s="2"/>
      <c r="P21" s="2"/>
      <c r="Q21" s="2"/>
      <c r="R21" s="2"/>
    </row>
    <row r="22" spans="1:18">
      <c r="F22" s="149"/>
      <c r="G22" s="149"/>
      <c r="H22" s="149"/>
      <c r="I22" s="149"/>
      <c r="J22" s="149"/>
      <c r="K22" s="149"/>
      <c r="L22" s="149"/>
      <c r="M22" s="149"/>
      <c r="N22" s="149"/>
      <c r="O22" s="149"/>
      <c r="P22" s="149"/>
      <c r="Q22" s="149"/>
      <c r="R22" s="149"/>
    </row>
    <row r="23" spans="1:18" ht="21">
      <c r="B23" s="198" t="s">
        <v>281</v>
      </c>
      <c r="C23" s="198"/>
      <c r="D23" s="198"/>
      <c r="F23" s="82"/>
      <c r="G23" s="82"/>
      <c r="H23" s="82"/>
      <c r="I23" s="82"/>
      <c r="J23" s="82"/>
      <c r="K23" s="82"/>
      <c r="L23" s="82"/>
      <c r="M23" s="82"/>
      <c r="N23" s="82"/>
      <c r="O23" s="82"/>
      <c r="P23" s="82"/>
      <c r="Q23" s="82"/>
      <c r="R23" s="82"/>
    </row>
    <row r="24" spans="1:18" ht="22.5" customHeight="1">
      <c r="B24" s="236" t="s">
        <v>215</v>
      </c>
      <c r="C24" s="237"/>
      <c r="D24" s="238"/>
      <c r="F24" s="82"/>
      <c r="G24" s="82"/>
      <c r="H24" s="82"/>
      <c r="I24" s="82"/>
      <c r="J24" s="82"/>
      <c r="K24" s="82"/>
      <c r="L24" s="82"/>
      <c r="M24" s="82"/>
      <c r="N24" s="82"/>
      <c r="O24" s="82"/>
      <c r="P24" s="82"/>
      <c r="Q24" s="82"/>
      <c r="R24" s="82"/>
    </row>
    <row r="25" spans="1:18" ht="40.5" customHeight="1">
      <c r="B25" s="24" t="s">
        <v>20</v>
      </c>
      <c r="C25" s="24" t="s">
        <v>369</v>
      </c>
      <c r="D25" s="24" t="s">
        <v>23</v>
      </c>
      <c r="F25" s="82"/>
      <c r="G25" s="82"/>
      <c r="H25" s="82"/>
      <c r="I25" s="82"/>
      <c r="J25" s="82"/>
      <c r="K25" s="82"/>
      <c r="L25" s="82"/>
      <c r="M25" s="82"/>
      <c r="N25" s="82"/>
      <c r="O25" s="82"/>
      <c r="P25" s="82"/>
      <c r="Q25" s="82"/>
      <c r="R25" s="82"/>
    </row>
    <row r="26" spans="1:18">
      <c r="A26" s="84">
        <v>1</v>
      </c>
      <c r="B26" s="85"/>
      <c r="C26" s="85"/>
      <c r="D26" s="85"/>
      <c r="F26" s="82"/>
      <c r="G26" s="82"/>
      <c r="H26" s="82"/>
      <c r="I26" s="82"/>
      <c r="J26" s="82"/>
      <c r="K26" s="82"/>
      <c r="L26" s="82"/>
      <c r="M26" s="82"/>
      <c r="N26" s="82"/>
      <c r="O26" s="82"/>
      <c r="P26" s="82"/>
      <c r="Q26" s="82"/>
      <c r="R26" s="82"/>
    </row>
    <row r="27" spans="1:18">
      <c r="A27" s="84">
        <v>2</v>
      </c>
      <c r="B27" s="85"/>
      <c r="C27" s="85"/>
      <c r="D27" s="85"/>
      <c r="F27" s="82"/>
      <c r="G27" s="82"/>
      <c r="H27" s="82"/>
      <c r="I27" s="82"/>
      <c r="J27" s="82"/>
      <c r="K27" s="82"/>
      <c r="L27" s="82"/>
      <c r="M27" s="82"/>
      <c r="N27" s="82"/>
      <c r="O27" s="82"/>
      <c r="P27" s="82"/>
      <c r="Q27" s="82"/>
      <c r="R27" s="82"/>
    </row>
    <row r="28" spans="1:18">
      <c r="A28" s="84">
        <v>3</v>
      </c>
      <c r="B28" s="85"/>
      <c r="C28" s="85"/>
      <c r="D28" s="85"/>
      <c r="F28" s="82"/>
      <c r="G28" s="82"/>
      <c r="H28" s="82"/>
      <c r="I28" s="82"/>
      <c r="J28" s="82"/>
      <c r="K28" s="82"/>
      <c r="L28" s="82"/>
      <c r="M28" s="82"/>
      <c r="N28" s="82"/>
      <c r="O28" s="82"/>
      <c r="P28" s="82"/>
      <c r="Q28" s="82"/>
      <c r="R28" s="82"/>
    </row>
    <row r="29" spans="1:18">
      <c r="A29" s="84">
        <v>4</v>
      </c>
      <c r="B29" s="85"/>
      <c r="C29" s="85"/>
      <c r="D29" s="85"/>
      <c r="F29" s="82"/>
      <c r="G29" s="82"/>
      <c r="H29" s="82"/>
      <c r="I29" s="82"/>
      <c r="J29" s="82"/>
      <c r="K29" s="82"/>
      <c r="L29" s="82"/>
      <c r="M29" s="82"/>
      <c r="N29" s="82"/>
      <c r="O29" s="82"/>
      <c r="P29" s="82"/>
      <c r="Q29" s="82"/>
      <c r="R29" s="82"/>
    </row>
    <row r="30" spans="1:18">
      <c r="A30" s="84">
        <v>5</v>
      </c>
      <c r="B30" s="85"/>
      <c r="C30" s="85"/>
      <c r="D30" s="85"/>
      <c r="F30" s="82"/>
      <c r="G30" s="82"/>
      <c r="H30" s="82"/>
      <c r="I30" s="82"/>
      <c r="J30" s="82"/>
      <c r="K30" s="82"/>
      <c r="L30" s="82"/>
      <c r="M30" s="82"/>
      <c r="N30" s="82"/>
      <c r="O30" s="82"/>
      <c r="P30" s="82"/>
      <c r="Q30" s="82"/>
      <c r="R30" s="82"/>
    </row>
    <row r="31" spans="1:18">
      <c r="A31" s="84">
        <v>6</v>
      </c>
      <c r="B31" s="85"/>
      <c r="C31" s="85"/>
      <c r="D31" s="85"/>
      <c r="F31" s="82"/>
      <c r="G31" s="82"/>
      <c r="H31" s="82"/>
      <c r="I31" s="82"/>
      <c r="J31" s="82"/>
      <c r="K31" s="82"/>
      <c r="L31" s="82"/>
      <c r="M31" s="82"/>
      <c r="N31" s="82"/>
      <c r="O31" s="82"/>
      <c r="P31" s="82"/>
      <c r="Q31" s="82"/>
      <c r="R31" s="82"/>
    </row>
    <row r="32" spans="1:18">
      <c r="A32" s="84">
        <v>7</v>
      </c>
      <c r="B32" s="85"/>
      <c r="C32" s="85"/>
      <c r="D32" s="85"/>
      <c r="F32" s="82"/>
      <c r="G32" s="82"/>
      <c r="H32" s="82"/>
      <c r="I32" s="82"/>
      <c r="J32" s="82"/>
      <c r="K32" s="82"/>
      <c r="L32" s="82"/>
      <c r="M32" s="82"/>
      <c r="N32" s="82"/>
      <c r="O32" s="82"/>
      <c r="P32" s="82"/>
      <c r="Q32" s="82"/>
      <c r="R32" s="82"/>
    </row>
    <row r="33" spans="1:18">
      <c r="A33" s="84">
        <v>8</v>
      </c>
      <c r="B33" s="85"/>
      <c r="C33" s="85"/>
      <c r="D33" s="85"/>
      <c r="F33" s="82"/>
      <c r="G33" s="82"/>
      <c r="H33" s="82"/>
      <c r="I33" s="82"/>
      <c r="J33" s="82"/>
      <c r="K33" s="82"/>
      <c r="L33" s="82"/>
      <c r="M33" s="82"/>
      <c r="N33" s="82"/>
      <c r="O33" s="82"/>
      <c r="P33" s="82"/>
      <c r="Q33" s="82"/>
      <c r="R33" s="82"/>
    </row>
    <row r="34" spans="1:18">
      <c r="A34" s="84">
        <v>9</v>
      </c>
      <c r="B34" s="85"/>
      <c r="C34" s="85"/>
      <c r="D34" s="85"/>
      <c r="F34" s="82"/>
      <c r="G34" s="82"/>
      <c r="H34" s="82"/>
      <c r="I34" s="82"/>
      <c r="J34" s="82"/>
      <c r="K34" s="82"/>
      <c r="L34" s="82"/>
      <c r="M34" s="82"/>
      <c r="N34" s="82"/>
      <c r="O34" s="82"/>
      <c r="P34" s="82"/>
      <c r="Q34" s="82"/>
      <c r="R34" s="82"/>
    </row>
    <row r="35" spans="1:18">
      <c r="A35" s="84">
        <v>10</v>
      </c>
      <c r="B35" s="85"/>
      <c r="C35" s="85"/>
      <c r="D35" s="85"/>
      <c r="F35" s="82"/>
      <c r="G35" s="82"/>
      <c r="H35" s="82"/>
      <c r="I35" s="82"/>
      <c r="J35" s="82"/>
      <c r="K35" s="82"/>
      <c r="L35" s="82"/>
      <c r="M35" s="82"/>
      <c r="N35" s="82"/>
      <c r="O35" s="82"/>
      <c r="P35" s="82"/>
      <c r="Q35" s="82"/>
      <c r="R35" s="82"/>
    </row>
    <row r="36" spans="1:18">
      <c r="A36" s="84">
        <v>11</v>
      </c>
      <c r="B36" s="85"/>
      <c r="C36" s="85"/>
      <c r="D36" s="85"/>
      <c r="F36" s="82"/>
      <c r="G36" s="82"/>
      <c r="H36" s="82"/>
      <c r="I36" s="82"/>
      <c r="J36" s="82"/>
      <c r="K36" s="82"/>
      <c r="L36" s="82"/>
      <c r="M36" s="82"/>
      <c r="N36" s="82"/>
      <c r="O36" s="82"/>
      <c r="P36" s="82"/>
      <c r="Q36" s="82"/>
      <c r="R36" s="82"/>
    </row>
    <row r="37" spans="1:18">
      <c r="A37" s="84">
        <v>12</v>
      </c>
      <c r="B37" s="85"/>
      <c r="C37" s="85"/>
      <c r="D37" s="85"/>
      <c r="F37" s="82"/>
      <c r="G37" s="82"/>
      <c r="H37" s="82"/>
      <c r="I37" s="82"/>
      <c r="J37" s="82"/>
      <c r="K37" s="82"/>
      <c r="L37" s="82"/>
      <c r="M37" s="82"/>
      <c r="N37" s="82"/>
      <c r="O37" s="82"/>
      <c r="P37" s="82"/>
      <c r="Q37" s="82"/>
      <c r="R37" s="82"/>
    </row>
    <row r="38" spans="1:18">
      <c r="A38" s="84">
        <v>13</v>
      </c>
      <c r="B38" s="85"/>
      <c r="C38" s="85"/>
      <c r="D38" s="85"/>
      <c r="F38" s="82"/>
      <c r="G38" s="82"/>
      <c r="H38" s="82"/>
      <c r="I38" s="82"/>
      <c r="J38" s="82"/>
      <c r="K38" s="82"/>
      <c r="L38" s="82"/>
      <c r="M38" s="82"/>
      <c r="N38" s="82"/>
      <c r="O38" s="82"/>
      <c r="P38" s="82"/>
      <c r="Q38" s="82"/>
      <c r="R38" s="82"/>
    </row>
    <row r="39" spans="1:18">
      <c r="A39" s="84">
        <v>14</v>
      </c>
      <c r="B39" s="85"/>
      <c r="C39" s="85"/>
      <c r="D39" s="85"/>
      <c r="F39" s="82"/>
      <c r="G39" s="82"/>
      <c r="H39" s="82"/>
      <c r="I39" s="82"/>
      <c r="J39" s="82"/>
      <c r="K39" s="82"/>
      <c r="L39" s="82"/>
      <c r="M39" s="82"/>
      <c r="N39" s="82"/>
      <c r="O39" s="82"/>
      <c r="P39" s="82"/>
      <c r="Q39" s="82"/>
      <c r="R39" s="82"/>
    </row>
    <row r="40" spans="1:18">
      <c r="A40" s="84">
        <v>15</v>
      </c>
      <c r="B40" s="85"/>
      <c r="C40" s="85"/>
      <c r="D40" s="85"/>
      <c r="F40" s="82"/>
      <c r="G40" s="82"/>
      <c r="H40" s="82"/>
      <c r="I40" s="82"/>
      <c r="J40" s="82"/>
      <c r="K40" s="82"/>
      <c r="L40" s="82"/>
      <c r="M40" s="82"/>
      <c r="N40" s="82"/>
      <c r="O40" s="82"/>
      <c r="P40" s="82"/>
      <c r="Q40" s="82"/>
      <c r="R40" s="82"/>
    </row>
    <row r="41" spans="1:18">
      <c r="A41" s="84">
        <v>16</v>
      </c>
      <c r="B41" s="85"/>
      <c r="C41" s="85"/>
      <c r="D41" s="85"/>
      <c r="F41" s="82"/>
      <c r="G41" s="82"/>
      <c r="H41" s="82"/>
      <c r="I41" s="82"/>
      <c r="J41" s="82"/>
      <c r="K41" s="82"/>
      <c r="L41" s="82"/>
      <c r="M41" s="82"/>
      <c r="N41" s="82"/>
      <c r="O41" s="82"/>
      <c r="P41" s="82"/>
      <c r="Q41" s="82"/>
      <c r="R41" s="82"/>
    </row>
    <row r="42" spans="1:18">
      <c r="A42" s="84">
        <v>17</v>
      </c>
      <c r="B42" s="85"/>
      <c r="C42" s="85"/>
      <c r="D42" s="85"/>
      <c r="F42" s="82"/>
      <c r="G42" s="82"/>
      <c r="H42" s="82"/>
      <c r="I42" s="82"/>
      <c r="J42" s="82"/>
      <c r="K42" s="82"/>
      <c r="L42" s="82"/>
      <c r="M42" s="82"/>
      <c r="N42" s="82"/>
      <c r="O42" s="82"/>
      <c r="P42" s="82"/>
      <c r="Q42" s="82"/>
      <c r="R42" s="82"/>
    </row>
    <row r="43" spans="1:18">
      <c r="A43" s="84">
        <v>18</v>
      </c>
      <c r="B43" s="85"/>
      <c r="C43" s="85"/>
      <c r="D43" s="85"/>
      <c r="F43" s="82"/>
      <c r="G43" s="82"/>
      <c r="H43" s="82"/>
      <c r="I43" s="82"/>
      <c r="J43" s="82"/>
      <c r="K43" s="82"/>
      <c r="L43" s="82"/>
      <c r="M43" s="82"/>
      <c r="N43" s="82"/>
      <c r="O43" s="82"/>
      <c r="P43" s="82"/>
      <c r="Q43" s="82"/>
      <c r="R43" s="82"/>
    </row>
    <row r="44" spans="1:18">
      <c r="A44" s="84">
        <v>19</v>
      </c>
      <c r="B44" s="85"/>
      <c r="C44" s="85"/>
      <c r="D44" s="85"/>
      <c r="F44" s="82"/>
      <c r="G44" s="82"/>
      <c r="H44" s="82"/>
      <c r="I44" s="82"/>
      <c r="J44" s="82"/>
      <c r="K44" s="82"/>
      <c r="L44" s="82"/>
      <c r="M44" s="82"/>
      <c r="N44" s="82"/>
      <c r="O44" s="82"/>
      <c r="P44" s="82"/>
      <c r="Q44" s="82"/>
      <c r="R44" s="82"/>
    </row>
    <row r="45" spans="1:18">
      <c r="A45" s="84">
        <v>20</v>
      </c>
      <c r="B45" s="85"/>
      <c r="C45" s="85"/>
      <c r="D45" s="85"/>
      <c r="F45" s="82"/>
      <c r="G45" s="82"/>
      <c r="H45" s="82"/>
      <c r="I45" s="82"/>
      <c r="J45" s="82"/>
      <c r="K45" s="82"/>
      <c r="L45" s="82"/>
      <c r="M45" s="82"/>
      <c r="N45" s="82"/>
      <c r="O45" s="82"/>
      <c r="P45" s="82"/>
      <c r="Q45" s="82"/>
      <c r="R45" s="82"/>
    </row>
    <row r="46" spans="1:18">
      <c r="F46" s="82"/>
      <c r="G46" s="82"/>
      <c r="H46" s="82"/>
      <c r="I46" s="82"/>
      <c r="J46" s="82"/>
      <c r="K46" s="82"/>
      <c r="L46" s="82"/>
      <c r="M46" s="82"/>
      <c r="N46" s="82"/>
      <c r="O46" s="82"/>
      <c r="P46" s="82"/>
      <c r="Q46" s="82"/>
      <c r="R46" s="82"/>
    </row>
    <row r="47" spans="1:18">
      <c r="B47" s="1" t="s">
        <v>216</v>
      </c>
    </row>
    <row r="48" spans="1:18">
      <c r="B48" s="1" t="s">
        <v>282</v>
      </c>
    </row>
    <row r="49" spans="2:4" ht="14.45" customHeight="1">
      <c r="B49" s="239"/>
      <c r="C49" s="239"/>
      <c r="D49" s="239"/>
    </row>
  </sheetData>
  <sheetProtection algorithmName="SHA-512" hashValue="MgPDr9AkU99pyF7J1xYIjxqUTe5zirQfIj43xH1FHln2VccGYxLJtlwuRrwbPvdzh/C8IVBWXSpfDsqHy61VxA==" saltValue="sskcYRDCIhhDHwS6n1vyPg==" spinCount="100000" sheet="1" objects="1" scenarios="1"/>
  <customSheetViews>
    <customSheetView guid="{475135EF-B9F1-482D-ABF1-1E525C0245D4}" scale="60" showGridLines="0" topLeftCell="A2">
      <selection activeCell="B12" sqref="B12"/>
      <pageMargins left="0" right="0" top="0" bottom="0" header="0" footer="0"/>
      <pageSetup paperSize="9" orientation="portrait" r:id="rId1"/>
    </customSheetView>
  </customSheetViews>
  <mergeCells count="22">
    <mergeCell ref="B23:D23"/>
    <mergeCell ref="B24:D24"/>
    <mergeCell ref="B49:D49"/>
    <mergeCell ref="B2:D2"/>
    <mergeCell ref="C6:D6"/>
    <mergeCell ref="C3:D3"/>
    <mergeCell ref="C4:D4"/>
    <mergeCell ref="B8:D8"/>
    <mergeCell ref="B20:D20"/>
    <mergeCell ref="C21:D21"/>
    <mergeCell ref="F3:R6"/>
    <mergeCell ref="F15:R18"/>
    <mergeCell ref="C15:D15"/>
    <mergeCell ref="C18:D18"/>
    <mergeCell ref="B14:D14"/>
    <mergeCell ref="C17:D17"/>
    <mergeCell ref="C16:D16"/>
    <mergeCell ref="C5:D5"/>
    <mergeCell ref="C11:D11"/>
    <mergeCell ref="C12:D12"/>
    <mergeCell ref="C9:D9"/>
    <mergeCell ref="C10:D10"/>
  </mergeCells>
  <dataValidations disablePrompts="1" count="2">
    <dataValidation type="date" allowBlank="1" showInputMessage="1" showErrorMessage="1" sqref="C5:D7" xr:uid="{00000000-0002-0000-0100-000000000000}">
      <formula1>32874</formula1>
      <formula2>73396</formula2>
    </dataValidation>
    <dataValidation type="date" allowBlank="1" showInputMessage="1" showErrorMessage="1" sqref="C11:D11" xr:uid="{00000000-0002-0000-0100-000001000000}">
      <formula1>1</formula1>
      <formula2>73396</formula2>
    </dataValidation>
  </dataValidations>
  <pageMargins left="0.7" right="0.7" top="0.75" bottom="0.75" header="0.3" footer="0.3"/>
  <pageSetup paperSize="9" orientation="portrait" r:id="rId2"/>
  <headerFooter>
    <oddHeader>&amp;C&amp;"Times New Roman,Regular"&amp;12&amp;K99CC00Public - عام</oddHeader>
    <evenHeader>&amp;C&amp;"Times New Roman,Regular"&amp;12&amp;K99CC00Public - عام</evenHeader>
    <firstHeader>&amp;C&amp;"Times New Roman,Regular"&amp;12&amp;K99CC00Public - عام</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autoPageBreaks="0"/>
  </sheetPr>
  <dimension ref="B1:H44"/>
  <sheetViews>
    <sheetView showGridLines="0" zoomScaleNormal="100" workbookViewId="0"/>
  </sheetViews>
  <sheetFormatPr defaultColWidth="8.85546875" defaultRowHeight="15"/>
  <cols>
    <col min="1" max="1" width="4.42578125" style="1" customWidth="1"/>
    <col min="2" max="2" width="70" style="1" customWidth="1"/>
    <col min="3" max="5" width="25.42578125" style="1" customWidth="1"/>
    <col min="6" max="16384" width="8.85546875" style="1"/>
  </cols>
  <sheetData>
    <row r="1" spans="2:5" ht="28.5">
      <c r="B1" s="55" t="s">
        <v>24</v>
      </c>
    </row>
    <row r="2" spans="2:5" ht="28.5" customHeight="1">
      <c r="B2" s="198" t="s">
        <v>217</v>
      </c>
      <c r="C2" s="198"/>
      <c r="D2" s="198"/>
      <c r="E2" s="198"/>
    </row>
    <row r="3" spans="2:5" ht="14.45" customHeight="1">
      <c r="B3" s="17" t="s">
        <v>26</v>
      </c>
      <c r="C3" s="242" t="str">
        <f>IF('Section 1. General Information'!$C$9:$D$9="","",'Section 1. General Information'!$C$9:$D$9)</f>
        <v/>
      </c>
      <c r="D3" s="243"/>
      <c r="E3" s="244"/>
    </row>
    <row r="4" spans="2:5" ht="14.45" customHeight="1">
      <c r="B4" s="17" t="s">
        <v>16</v>
      </c>
      <c r="C4" s="242" t="str">
        <f>IF('Section 1. General Information'!$C$4:$D$4="","",'Section 1. General Information'!$C$4:$D$4)</f>
        <v/>
      </c>
      <c r="D4" s="243"/>
      <c r="E4" s="244"/>
    </row>
    <row r="5" spans="2:5" ht="14.45" customHeight="1">
      <c r="B5" s="17" t="s">
        <v>17</v>
      </c>
      <c r="C5" s="245" t="str">
        <f>IF('Section 1. General Information'!$C$5:$D$5="","",'Section 1. General Information'!$C$5:$D$5)</f>
        <v/>
      </c>
      <c r="D5" s="246"/>
      <c r="E5" s="247"/>
    </row>
    <row r="6" spans="2:5" ht="14.45" customHeight="1">
      <c r="B6" s="17" t="s">
        <v>18</v>
      </c>
      <c r="C6" s="245" t="str">
        <f>IF('Section 1. General Information'!$C$6:$D$6="","",'Section 1. General Information'!$C$6:$D$6)</f>
        <v/>
      </c>
      <c r="D6" s="246"/>
      <c r="E6" s="247"/>
    </row>
    <row r="7" spans="2:5" ht="14.45" customHeight="1"/>
    <row r="8" spans="2:5" ht="24.6" customHeight="1">
      <c r="B8" s="199" t="s">
        <v>229</v>
      </c>
      <c r="C8" s="199"/>
      <c r="D8" s="199"/>
      <c r="E8" s="199"/>
    </row>
    <row r="9" spans="2:5" ht="26.45" customHeight="1">
      <c r="B9" s="18" t="s">
        <v>218</v>
      </c>
      <c r="C9" s="248" t="s">
        <v>30</v>
      </c>
      <c r="D9" s="249"/>
      <c r="E9" s="249"/>
    </row>
    <row r="10" spans="2:5" ht="18.600000000000001" customHeight="1">
      <c r="B10" s="19" t="s">
        <v>137</v>
      </c>
      <c r="C10" s="250">
        <f>'Section 7. Depreciation &amp; Amor.'!C10</f>
        <v>0</v>
      </c>
      <c r="D10" s="251"/>
      <c r="E10" s="252"/>
    </row>
    <row r="11" spans="2:5" ht="18.600000000000001" customHeight="1">
      <c r="B11" s="19" t="s">
        <v>223</v>
      </c>
      <c r="C11" s="250">
        <f>'Section 3. Labor'!E12</f>
        <v>0</v>
      </c>
      <c r="D11" s="251"/>
      <c r="E11" s="252"/>
    </row>
    <row r="12" spans="2:5" ht="18.600000000000001" customHeight="1">
      <c r="B12" s="19" t="s">
        <v>224</v>
      </c>
      <c r="C12" s="250">
        <f>'Section 4. Goods and Services'!F10</f>
        <v>0</v>
      </c>
      <c r="D12" s="251"/>
      <c r="E12" s="252"/>
    </row>
    <row r="13" spans="2:5" ht="18.600000000000001" customHeight="1">
      <c r="B13" s="19" t="s">
        <v>225</v>
      </c>
      <c r="C13" s="250">
        <f>'Section 6. Capacity Building'!C9</f>
        <v>0</v>
      </c>
      <c r="D13" s="251"/>
      <c r="E13" s="252"/>
    </row>
    <row r="14" spans="2:5" ht="18.600000000000001" customHeight="1">
      <c r="B14" s="19" t="s">
        <v>226</v>
      </c>
      <c r="C14" s="250">
        <f>'Section 6. Capacity Building'!C12</f>
        <v>0</v>
      </c>
      <c r="D14" s="251"/>
      <c r="E14" s="252"/>
    </row>
    <row r="15" spans="2:5" ht="18.600000000000001" customHeight="1" thickBot="1">
      <c r="B15" s="19" t="s">
        <v>227</v>
      </c>
      <c r="C15" s="250">
        <f>'Section 6. Capacity Building'!C15</f>
        <v>0</v>
      </c>
      <c r="D15" s="251"/>
      <c r="E15" s="252"/>
    </row>
    <row r="16" spans="2:5" ht="18.600000000000001" customHeight="1">
      <c r="B16" s="20" t="s">
        <v>219</v>
      </c>
      <c r="C16" s="256">
        <f>SUM(C10:E15)</f>
        <v>0</v>
      </c>
      <c r="D16" s="256"/>
      <c r="E16" s="257"/>
    </row>
    <row r="17" spans="2:8" ht="18.600000000000001" customHeight="1">
      <c r="B17" s="21" t="s">
        <v>230</v>
      </c>
      <c r="C17" s="258">
        <f>'Section 3. Labor'!E10+'Section 4. Goods and Services'!F9+'Section 6. Capacity Building'!C9+'Section 6. Capacity Building'!C12+'Section 6. Capacity Building'!C15+'Section 7. Depreciation &amp; Amor.'!C9</f>
        <v>0</v>
      </c>
      <c r="D17" s="258"/>
      <c r="E17" s="259"/>
    </row>
    <row r="18" spans="2:8" ht="18.600000000000001" customHeight="1">
      <c r="B18" s="21" t="s">
        <v>27</v>
      </c>
      <c r="C18" s="260">
        <f>IFERROR(IF(((C16/C17)+'Section 6. Capacity Building'!C17)&gt;1,1,((C16/C17)+'Section 6. Capacity Building'!C17)),0)</f>
        <v>0</v>
      </c>
      <c r="D18" s="261"/>
      <c r="E18" s="262"/>
      <c r="H18" s="56"/>
    </row>
    <row r="19" spans="2:8" ht="18.600000000000001" customHeight="1" thickBot="1">
      <c r="B19" s="22" t="s">
        <v>231</v>
      </c>
      <c r="C19" s="253">
        <f>'Appendix A'!F47</f>
        <v>0</v>
      </c>
      <c r="D19" s="254"/>
      <c r="E19" s="255"/>
    </row>
    <row r="20" spans="2:8">
      <c r="B20" s="86"/>
    </row>
    <row r="21" spans="2:8">
      <c r="B21" t="s">
        <v>220</v>
      </c>
      <c r="D21" s="87"/>
      <c r="E21" s="87"/>
    </row>
    <row r="22" spans="2:8">
      <c r="B22" t="s">
        <v>221</v>
      </c>
      <c r="D22" s="87"/>
      <c r="E22" s="87"/>
    </row>
    <row r="23" spans="2:8">
      <c r="B23" t="s">
        <v>222</v>
      </c>
    </row>
    <row r="24" spans="2:8">
      <c r="C24" s="88"/>
    </row>
    <row r="26" spans="2:8">
      <c r="C26" s="89"/>
    </row>
    <row r="27" spans="2:8">
      <c r="C27" s="89"/>
    </row>
    <row r="28" spans="2:8">
      <c r="C28" s="89"/>
    </row>
    <row r="29" spans="2:8">
      <c r="C29" s="89"/>
    </row>
    <row r="30" spans="2:8">
      <c r="C30" s="89"/>
    </row>
    <row r="31" spans="2:8">
      <c r="C31" s="89"/>
    </row>
    <row r="32" spans="2:8">
      <c r="C32" s="89"/>
    </row>
    <row r="33" spans="3:3">
      <c r="C33" s="89"/>
    </row>
    <row r="34" spans="3:3">
      <c r="C34" s="89"/>
    </row>
    <row r="35" spans="3:3">
      <c r="C35" s="89"/>
    </row>
    <row r="36" spans="3:3">
      <c r="C36" s="89"/>
    </row>
    <row r="37" spans="3:3">
      <c r="C37" s="89"/>
    </row>
    <row r="38" spans="3:3">
      <c r="C38" s="89"/>
    </row>
    <row r="39" spans="3:3">
      <c r="C39" s="89"/>
    </row>
    <row r="40" spans="3:3">
      <c r="C40" s="89"/>
    </row>
    <row r="41" spans="3:3">
      <c r="C41" s="89"/>
    </row>
    <row r="42" spans="3:3">
      <c r="C42" s="89"/>
    </row>
    <row r="43" spans="3:3">
      <c r="C43" s="89"/>
    </row>
    <row r="44" spans="3:3">
      <c r="C44" s="89"/>
    </row>
  </sheetData>
  <sheetProtection algorithmName="SHA-512" hashValue="ZFKnuzMb7sVWTz4dDF1pn9eMrzhsP98LKQOxxDniCEG/mT9Budxb+Y21QWgW501XUPjcnqcg0zovmwR8Q5I0XQ==" saltValue="anIseHVMYNXu5QmmVCufMw==" spinCount="100000" sheet="1" objects="1" scenarios="1"/>
  <customSheetViews>
    <customSheetView guid="{475135EF-B9F1-482D-ABF1-1E525C0245D4}" scale="60" showGridLines="0">
      <selection activeCell="B1" sqref="B1"/>
      <pageMargins left="0" right="0" top="0" bottom="0" header="0" footer="0"/>
      <pageSetup paperSize="9" orientation="portrait" r:id="rId1"/>
    </customSheetView>
  </customSheetViews>
  <mergeCells count="17">
    <mergeCell ref="C19:E19"/>
    <mergeCell ref="C14:E14"/>
    <mergeCell ref="C15:E15"/>
    <mergeCell ref="C16:E16"/>
    <mergeCell ref="C17:E17"/>
    <mergeCell ref="C18:E18"/>
    <mergeCell ref="C9:E9"/>
    <mergeCell ref="C10:E10"/>
    <mergeCell ref="C11:E11"/>
    <mergeCell ref="C12:E12"/>
    <mergeCell ref="C13:E13"/>
    <mergeCell ref="B8:E8"/>
    <mergeCell ref="B2:E2"/>
    <mergeCell ref="C3:E3"/>
    <mergeCell ref="C4:E4"/>
    <mergeCell ref="C5:E5"/>
    <mergeCell ref="C6:E6"/>
  </mergeCells>
  <pageMargins left="0.7" right="0.7" top="0.75" bottom="0.75" header="0.3" footer="0.3"/>
  <pageSetup paperSize="9" orientation="portrait" r:id="rId2"/>
  <headerFooter>
    <oddHeader>&amp;C&amp;"Times New Roman,Regular"&amp;12&amp;K99CC00Public - عام</oddHeader>
    <evenHeader>&amp;C&amp;"Times New Roman,Regular"&amp;12&amp;K99CC00Public - عام</evenHeader>
    <firstHeader>&amp;C&amp;"Times New Roman,Regular"&amp;12&amp;K99CC00Public - عام</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sheetPr>
  <dimension ref="B1:S22"/>
  <sheetViews>
    <sheetView showGridLines="0" zoomScaleNormal="100" workbookViewId="0"/>
  </sheetViews>
  <sheetFormatPr defaultColWidth="8.85546875" defaultRowHeight="15"/>
  <cols>
    <col min="1" max="1" width="4.42578125" customWidth="1"/>
    <col min="2" max="2" width="64.5703125" customWidth="1"/>
    <col min="3" max="3" width="28.140625" customWidth="1"/>
    <col min="4" max="4" width="32" customWidth="1"/>
    <col min="5" max="5" width="28.140625" customWidth="1"/>
    <col min="6" max="6" width="4.85546875" customWidth="1"/>
    <col min="7" max="7" width="29.85546875" customWidth="1"/>
    <col min="8" max="9" width="26" customWidth="1"/>
  </cols>
  <sheetData>
    <row r="1" spans="2:19" ht="28.5">
      <c r="B1" s="3" t="s">
        <v>28</v>
      </c>
    </row>
    <row r="2" spans="2:19" ht="23.1" customHeight="1">
      <c r="B2" s="198" t="s">
        <v>217</v>
      </c>
      <c r="C2" s="198"/>
      <c r="D2" s="198"/>
      <c r="E2" s="198"/>
    </row>
    <row r="3" spans="2:19" ht="17.100000000000001" customHeight="1">
      <c r="B3" s="17" t="s">
        <v>26</v>
      </c>
      <c r="C3" s="263" t="str">
        <f>IF('Section 1. General Information'!$C$9:$D$9="","",'Section 1. General Information'!$C$9:$D$9)</f>
        <v/>
      </c>
      <c r="D3" s="264"/>
      <c r="E3" s="265"/>
    </row>
    <row r="4" spans="2:19" ht="17.100000000000001" customHeight="1">
      <c r="B4" s="17" t="s">
        <v>16</v>
      </c>
      <c r="C4" s="263" t="str">
        <f>IF('Section 1. General Information'!$C$4:$D$4="","",'Section 1. General Information'!$C$4:$D$4)</f>
        <v/>
      </c>
      <c r="D4" s="264"/>
      <c r="E4" s="265"/>
    </row>
    <row r="5" spans="2:19" ht="17.100000000000001" customHeight="1">
      <c r="B5" s="17" t="s">
        <v>17</v>
      </c>
      <c r="C5" s="266" t="str">
        <f>IF('Section 1. General Information'!$C$5:$D$5="","",'Section 1. General Information'!$C$5:$D$5)</f>
        <v/>
      </c>
      <c r="D5" s="267"/>
      <c r="E5" s="268"/>
    </row>
    <row r="6" spans="2:19" ht="17.100000000000001" customHeight="1">
      <c r="B6" s="17" t="s">
        <v>18</v>
      </c>
      <c r="C6" s="266" t="str">
        <f>IF('Section 1. General Information'!$C$6:$D$6="","",'Section 1. General Information'!$C$6:$D$6)</f>
        <v/>
      </c>
      <c r="D6" s="267"/>
      <c r="E6" s="268"/>
    </row>
    <row r="7" spans="2:19" ht="14.45" customHeight="1">
      <c r="B7" s="1"/>
      <c r="C7" s="1"/>
      <c r="D7" s="1"/>
      <c r="E7" s="1"/>
    </row>
    <row r="8" spans="2:19" ht="24" customHeight="1">
      <c r="B8" s="199" t="s">
        <v>233</v>
      </c>
      <c r="C8" s="199"/>
      <c r="D8" s="199"/>
      <c r="E8" s="199"/>
      <c r="F8" s="1"/>
    </row>
    <row r="9" spans="2:19" ht="46.5" customHeight="1">
      <c r="B9" s="23"/>
      <c r="C9" s="24" t="s">
        <v>286</v>
      </c>
      <c r="D9" s="24" t="s">
        <v>287</v>
      </c>
      <c r="E9" s="24" t="s">
        <v>288</v>
      </c>
      <c r="F9" s="1"/>
      <c r="G9" s="92"/>
      <c r="H9" s="92"/>
      <c r="I9" s="92"/>
      <c r="J9" s="92"/>
      <c r="K9" s="92"/>
      <c r="L9" s="92"/>
      <c r="M9" s="92"/>
      <c r="N9" s="92"/>
      <c r="O9" s="92"/>
      <c r="P9" s="92"/>
      <c r="Q9" s="92"/>
      <c r="R9" s="92"/>
      <c r="S9" s="92"/>
    </row>
    <row r="10" spans="2:19" ht="24" customHeight="1">
      <c r="B10" s="23" t="s">
        <v>232</v>
      </c>
      <c r="C10" s="90">
        <v>0</v>
      </c>
      <c r="D10" s="90">
        <v>0</v>
      </c>
      <c r="E10" s="27">
        <f>SUM(C10:D10)</f>
        <v>0</v>
      </c>
      <c r="F10" s="1"/>
      <c r="G10" s="92"/>
      <c r="H10" s="92"/>
      <c r="I10" s="92"/>
      <c r="J10" s="92"/>
      <c r="K10" s="92"/>
      <c r="L10" s="92"/>
      <c r="M10" s="92"/>
      <c r="N10" s="92"/>
      <c r="O10" s="92"/>
      <c r="P10" s="92"/>
      <c r="Q10" s="92"/>
      <c r="R10" s="92"/>
      <c r="S10" s="92"/>
    </row>
    <row r="11" spans="2:19" ht="21" customHeight="1">
      <c r="B11" s="17" t="s">
        <v>29</v>
      </c>
      <c r="C11" s="25">
        <v>1</v>
      </c>
      <c r="D11" s="53">
        <v>0.53400000000000003</v>
      </c>
      <c r="E11" s="25">
        <f>IFERROR(E12/E10,0)</f>
        <v>0</v>
      </c>
      <c r="G11" s="92"/>
      <c r="H11" s="92"/>
      <c r="I11" s="92"/>
      <c r="J11" s="92"/>
      <c r="K11" s="92"/>
      <c r="L11" s="92"/>
      <c r="M11" s="92"/>
      <c r="N11" s="92"/>
      <c r="O11" s="92"/>
      <c r="P11" s="92"/>
      <c r="Q11" s="92"/>
      <c r="R11" s="92"/>
      <c r="S11" s="92"/>
    </row>
    <row r="12" spans="2:19" ht="21.75" customHeight="1">
      <c r="B12" s="17" t="s">
        <v>30</v>
      </c>
      <c r="C12" s="26">
        <f>C10*C11</f>
        <v>0</v>
      </c>
      <c r="D12" s="26">
        <f>D10*D11</f>
        <v>0</v>
      </c>
      <c r="E12" s="26">
        <f>SUM(C12:D12)</f>
        <v>0</v>
      </c>
      <c r="G12" s="92"/>
      <c r="H12" s="92"/>
      <c r="I12" s="92"/>
      <c r="J12" s="92"/>
      <c r="K12" s="92"/>
      <c r="L12" s="92"/>
      <c r="M12" s="92"/>
      <c r="N12" s="92"/>
      <c r="O12" s="92"/>
      <c r="P12" s="92"/>
      <c r="Q12" s="92"/>
      <c r="R12" s="92"/>
      <c r="S12" s="92"/>
    </row>
    <row r="13" spans="2:19" ht="14.45" customHeight="1">
      <c r="B13" s="1"/>
      <c r="C13" s="1"/>
      <c r="D13" s="1"/>
      <c r="E13" s="1"/>
    </row>
    <row r="14" spans="2:19" ht="21">
      <c r="B14" s="199" t="s">
        <v>289</v>
      </c>
      <c r="C14" s="199"/>
      <c r="D14" s="199"/>
      <c r="E14" s="199"/>
    </row>
    <row r="15" spans="2:19" ht="34.5" customHeight="1">
      <c r="B15" s="23"/>
      <c r="C15" s="24" t="s">
        <v>285</v>
      </c>
      <c r="D15" s="24" t="s">
        <v>283</v>
      </c>
      <c r="E15" s="24" t="s">
        <v>284</v>
      </c>
    </row>
    <row r="16" spans="2:19" ht="24" customHeight="1">
      <c r="B16" s="23" t="s">
        <v>290</v>
      </c>
      <c r="C16" s="150">
        <v>0</v>
      </c>
      <c r="D16" s="150">
        <v>0</v>
      </c>
      <c r="E16" s="151">
        <f>SUM(C16:D16)</f>
        <v>0</v>
      </c>
    </row>
    <row r="17" spans="2:5" ht="24" customHeight="1">
      <c r="B17" s="17" t="s">
        <v>291</v>
      </c>
      <c r="C17" s="150">
        <v>0</v>
      </c>
      <c r="D17" s="150">
        <v>0</v>
      </c>
      <c r="E17" s="151">
        <f>SUM(C17:D17)</f>
        <v>0</v>
      </c>
    </row>
    <row r="18" spans="2:5" ht="26.25" customHeight="1">
      <c r="B18" s="17" t="s">
        <v>292</v>
      </c>
      <c r="C18" s="151">
        <f>SUM(C16:C17)</f>
        <v>0</v>
      </c>
      <c r="D18" s="151">
        <f>SUM(D16:D17)</f>
        <v>0</v>
      </c>
      <c r="E18" s="151">
        <f>SUM(E16:E17)</f>
        <v>0</v>
      </c>
    </row>
    <row r="19" spans="2:5" ht="14.45" customHeight="1">
      <c r="B19" s="1"/>
      <c r="C19" s="1"/>
      <c r="D19" s="1"/>
      <c r="E19" s="1"/>
    </row>
    <row r="20" spans="2:5">
      <c r="B20" s="1" t="s">
        <v>234</v>
      </c>
    </row>
    <row r="21" spans="2:5">
      <c r="B21" s="1" t="s">
        <v>235</v>
      </c>
    </row>
    <row r="22" spans="2:5">
      <c r="B22" s="1" t="s">
        <v>236</v>
      </c>
    </row>
  </sheetData>
  <sheetProtection algorithmName="SHA-512" hashValue="uGs3DPBU4c28rq8opz7rW68TnAs45moA8N4hp2wSRe/HL/8HcD4ZsZpLwGwLHc/wMnnqXEsN6om7XDXLHamyxQ==" saltValue="OtcsfJ7+BYMFGzRUAWBOoQ==" spinCount="100000" sheet="1" objects="1" scenarios="1"/>
  <customSheetViews>
    <customSheetView guid="{475135EF-B9F1-482D-ABF1-1E525C0245D4}" scale="60" showGridLines="0">
      <selection activeCell="B1" sqref="B1"/>
      <pageMargins left="0" right="0" top="0" bottom="0" header="0" footer="0"/>
      <pageSetup paperSize="9" orientation="portrait" r:id="rId1"/>
    </customSheetView>
  </customSheetViews>
  <mergeCells count="7">
    <mergeCell ref="B14:E14"/>
    <mergeCell ref="B8:E8"/>
    <mergeCell ref="B2:E2"/>
    <mergeCell ref="C3:E3"/>
    <mergeCell ref="C4:E4"/>
    <mergeCell ref="C5:E5"/>
    <mergeCell ref="C6:E6"/>
  </mergeCells>
  <conditionalFormatting sqref="C10:E10">
    <cfRule type="expression" dxfId="4" priority="10" stopIfTrue="1">
      <formula>Value=Above400M</formula>
    </cfRule>
  </conditionalFormatting>
  <conditionalFormatting sqref="C16:E17">
    <cfRule type="expression" dxfId="3" priority="1" stopIfTrue="1">
      <formula>Value=Above400M</formula>
    </cfRule>
  </conditionalFormatting>
  <dataValidations count="1">
    <dataValidation type="decimal" operator="greaterThanOrEqual" allowBlank="1" showInputMessage="1" showErrorMessage="1" sqref="C10:D10 C16:D17" xr:uid="{00000000-0002-0000-0300-000000000000}">
      <formula1>0</formula1>
    </dataValidation>
  </dataValidations>
  <pageMargins left="0.7" right="0.7" top="0.75" bottom="0.75" header="0.3" footer="0.3"/>
  <pageSetup paperSize="9" orientation="portrait" r:id="rId2"/>
  <headerFooter>
    <oddHeader>&amp;C&amp;"Times New Roman,Regular"&amp;12&amp;K99CC00Public - عام</oddHeader>
    <evenHeader>&amp;C&amp;"Times New Roman,Regular"&amp;12&amp;K99CC00Public - عام</evenHeader>
    <firstHeader>&amp;C&amp;"Times New Roman,Regular"&amp;12&amp;K99CC00Public - عام</firstHeader>
  </headerFooter>
  <ignoredErrors>
    <ignoredError sqref="E11"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1:AC110"/>
  <sheetViews>
    <sheetView showGridLines="0" zoomScaleNormal="100" workbookViewId="0"/>
  </sheetViews>
  <sheetFormatPr defaultColWidth="8.85546875" defaultRowHeight="15"/>
  <cols>
    <col min="1" max="1" width="4.42578125" customWidth="1"/>
    <col min="2" max="2" width="64.5703125" customWidth="1"/>
    <col min="3" max="3" width="14.42578125" customWidth="1"/>
    <col min="4" max="4" width="10.140625" customWidth="1"/>
    <col min="5" max="5" width="32" customWidth="1"/>
    <col min="6" max="6" width="38.85546875" customWidth="1"/>
    <col min="7" max="7" width="21.85546875" customWidth="1"/>
    <col min="8" max="8" width="34.140625" bestFit="1" customWidth="1"/>
    <col min="9" max="9" width="36.5703125" customWidth="1"/>
    <col min="10" max="10" width="36.42578125" customWidth="1"/>
    <col min="11" max="11" width="22.140625" customWidth="1"/>
    <col min="12" max="12" width="13.85546875" customWidth="1"/>
    <col min="13" max="13" width="13.140625" customWidth="1"/>
    <col min="14" max="14" width="30.28515625" customWidth="1"/>
    <col min="15" max="15" width="23.42578125" customWidth="1"/>
    <col min="16" max="16" width="27.140625" customWidth="1"/>
  </cols>
  <sheetData>
    <row r="1" spans="1:29" ht="28.5">
      <c r="B1" s="3" t="s">
        <v>31</v>
      </c>
    </row>
    <row r="2" spans="1:29" ht="21">
      <c r="B2" s="198" t="s">
        <v>25</v>
      </c>
      <c r="C2" s="198"/>
      <c r="D2" s="198"/>
      <c r="E2" s="198"/>
      <c r="F2" s="43"/>
      <c r="G2" s="43"/>
    </row>
    <row r="3" spans="1:29" ht="14.45" customHeight="1">
      <c r="B3" s="17" t="s">
        <v>26</v>
      </c>
      <c r="C3" s="200" t="str">
        <f>IF('Section 1. General Information'!$C$9:$D$9="","",'Section 1. General Information'!$C$9:$D$9)</f>
        <v/>
      </c>
      <c r="D3" s="201"/>
      <c r="E3" s="201"/>
      <c r="F3" s="201"/>
      <c r="G3" s="202"/>
    </row>
    <row r="4" spans="1:29" ht="14.45" customHeight="1">
      <c r="B4" s="17" t="s">
        <v>16</v>
      </c>
      <c r="C4" s="212" t="str">
        <f>IF('Section 1. General Information'!$C$4:$D$4="","",'Section 1. General Information'!$C$4:$D$4)</f>
        <v/>
      </c>
      <c r="D4" s="213"/>
      <c r="E4" s="213"/>
      <c r="F4" s="213"/>
      <c r="G4" s="214"/>
    </row>
    <row r="5" spans="1:29" ht="14.45" customHeight="1">
      <c r="B5" s="17" t="s">
        <v>17</v>
      </c>
      <c r="C5" s="212" t="str">
        <f>IF('Section 1. General Information'!$C$5:$D$5="","",'Section 1. General Information'!$C$5:$D$5)</f>
        <v/>
      </c>
      <c r="D5" s="213"/>
      <c r="E5" s="213"/>
      <c r="F5" s="213"/>
      <c r="G5" s="214"/>
    </row>
    <row r="6" spans="1:29" ht="14.45" customHeight="1">
      <c r="B6" s="17" t="s">
        <v>18</v>
      </c>
      <c r="C6" s="212" t="str">
        <f>IF('Section 1. General Information'!$C$6:$D$6="","",'Section 1. General Information'!$C$6:$D$6)</f>
        <v/>
      </c>
      <c r="D6" s="213"/>
      <c r="E6" s="213"/>
      <c r="F6" s="213"/>
      <c r="G6" s="214"/>
    </row>
    <row r="7" spans="1:29">
      <c r="B7" s="1"/>
      <c r="C7" s="1"/>
      <c r="D7" s="1"/>
      <c r="E7" s="1"/>
      <c r="F7" s="1"/>
      <c r="G7" s="1"/>
      <c r="H7" s="1"/>
      <c r="I7" s="1"/>
      <c r="O7" s="1"/>
    </row>
    <row r="8" spans="1:29" ht="21">
      <c r="B8" s="199" t="s">
        <v>237</v>
      </c>
      <c r="C8" s="199"/>
      <c r="D8" s="199"/>
      <c r="E8" s="199"/>
      <c r="F8" s="199"/>
      <c r="G8" s="199"/>
      <c r="N8" s="91"/>
      <c r="O8" s="1"/>
      <c r="Q8" s="2"/>
    </row>
    <row r="9" spans="1:29" ht="16.350000000000001" customHeight="1">
      <c r="B9" s="185" t="s">
        <v>238</v>
      </c>
      <c r="C9" s="186"/>
      <c r="D9" s="186"/>
      <c r="E9" s="187"/>
      <c r="F9" s="194">
        <v>0</v>
      </c>
      <c r="G9" s="195"/>
      <c r="I9" s="91"/>
      <c r="J9" s="152"/>
      <c r="O9" s="1"/>
      <c r="Q9" s="184"/>
      <c r="R9" s="184"/>
      <c r="S9" s="184"/>
      <c r="T9" s="184"/>
      <c r="U9" s="184"/>
      <c r="V9" s="184"/>
      <c r="W9" s="184"/>
      <c r="X9" s="184"/>
      <c r="Y9" s="184"/>
      <c r="Z9" s="184"/>
      <c r="AA9" s="184"/>
      <c r="AB9" s="184"/>
      <c r="AC9" s="184"/>
    </row>
    <row r="10" spans="1:29" ht="16.350000000000001" customHeight="1">
      <c r="B10" s="188" t="s">
        <v>174</v>
      </c>
      <c r="C10" s="189"/>
      <c r="D10" s="189"/>
      <c r="E10" s="190"/>
      <c r="F10" s="196">
        <f>O97</f>
        <v>0</v>
      </c>
      <c r="G10" s="197"/>
      <c r="J10" s="44"/>
      <c r="N10" s="40"/>
      <c r="O10" s="1"/>
      <c r="Q10" s="184"/>
      <c r="R10" s="184"/>
      <c r="S10" s="184"/>
      <c r="T10" s="184"/>
      <c r="U10" s="184"/>
      <c r="V10" s="184"/>
      <c r="W10" s="184"/>
      <c r="X10" s="184"/>
      <c r="Y10" s="184"/>
      <c r="Z10" s="184"/>
      <c r="AA10" s="184"/>
      <c r="AB10" s="184"/>
      <c r="AC10" s="184"/>
    </row>
    <row r="11" spans="1:29" ht="14.45" customHeight="1">
      <c r="B11" s="1"/>
      <c r="C11" s="1"/>
      <c r="D11" s="1"/>
      <c r="E11" s="1"/>
      <c r="F11" s="1"/>
      <c r="G11" s="1"/>
      <c r="H11" s="1"/>
      <c r="I11" s="1"/>
      <c r="J11" s="1"/>
      <c r="K11" s="1"/>
      <c r="L11" s="1"/>
      <c r="M11" s="1"/>
      <c r="N11" s="1"/>
      <c r="O11" s="1"/>
    </row>
    <row r="12" spans="1:29" ht="21" customHeight="1">
      <c r="B12" s="54" t="s">
        <v>243</v>
      </c>
      <c r="C12" s="6"/>
      <c r="D12" s="6"/>
      <c r="E12" s="7"/>
      <c r="F12" s="7"/>
      <c r="G12" s="7"/>
      <c r="H12" s="7"/>
      <c r="I12" s="7"/>
      <c r="J12" s="6"/>
      <c r="K12" s="6"/>
      <c r="L12" s="6"/>
      <c r="M12" s="6"/>
      <c r="N12" s="6"/>
      <c r="O12" s="6"/>
    </row>
    <row r="13" spans="1:29" ht="53.25" customHeight="1">
      <c r="B13" s="191" t="s">
        <v>267</v>
      </c>
      <c r="C13" s="192"/>
      <c r="D13" s="193"/>
      <c r="E13" s="24" t="s">
        <v>268</v>
      </c>
      <c r="F13" s="24" t="s">
        <v>239</v>
      </c>
      <c r="G13" s="24" t="s">
        <v>32</v>
      </c>
      <c r="H13" s="24" t="s">
        <v>33</v>
      </c>
      <c r="I13" s="24" t="s">
        <v>269</v>
      </c>
      <c r="J13" s="24" t="s">
        <v>240</v>
      </c>
      <c r="K13" s="24" t="s">
        <v>270</v>
      </c>
      <c r="L13" s="24" t="s">
        <v>273</v>
      </c>
      <c r="M13" s="24" t="s">
        <v>266</v>
      </c>
      <c r="N13" s="24" t="s">
        <v>274</v>
      </c>
      <c r="O13" s="24" t="s">
        <v>241</v>
      </c>
      <c r="Q13" s="92"/>
      <c r="R13" s="92"/>
      <c r="S13" s="92"/>
      <c r="T13" s="92"/>
      <c r="U13" s="92"/>
      <c r="V13" s="92"/>
      <c r="W13" s="92"/>
      <c r="X13" s="92"/>
      <c r="Y13" s="92"/>
      <c r="Z13" s="92"/>
      <c r="AA13" s="92"/>
      <c r="AB13" s="92"/>
      <c r="AC13" s="92"/>
    </row>
    <row r="14" spans="1:29">
      <c r="A14" s="93">
        <v>1</v>
      </c>
      <c r="B14" s="178"/>
      <c r="C14" s="179"/>
      <c r="D14" s="180"/>
      <c r="E14" s="94"/>
      <c r="F14" s="94"/>
      <c r="G14" s="94"/>
      <c r="H14" s="94"/>
      <c r="I14" s="173"/>
      <c r="J14" s="94"/>
      <c r="K14" s="95"/>
      <c r="L14" s="96">
        <f>IFERROR(INDEX('Appendix B'!$C$5:$C$42,MATCH('Section 4. Goods and Services'!J14,'Appendix B'!$B$5:$B$42,0)),0)</f>
        <v>0</v>
      </c>
      <c r="M14" s="96">
        <f>IF(K14&lt;=0,L14,K14)</f>
        <v>0</v>
      </c>
      <c r="N14" s="5">
        <v>0</v>
      </c>
      <c r="O14" s="97">
        <f>N14*M14</f>
        <v>0</v>
      </c>
      <c r="P14" s="41" t="str">
        <f>IF(O14&gt;1%*'Section 2. Evaluation'!$C$17,"To be confirmed","")</f>
        <v/>
      </c>
      <c r="Q14" s="92"/>
      <c r="R14" s="92"/>
      <c r="S14" s="92"/>
      <c r="T14" s="92"/>
      <c r="U14" s="92"/>
      <c r="V14" s="92"/>
      <c r="W14" s="92"/>
      <c r="X14" s="92"/>
      <c r="Y14" s="92"/>
      <c r="Z14" s="92"/>
      <c r="AA14" s="92"/>
      <c r="AB14" s="92"/>
      <c r="AC14" s="92"/>
    </row>
    <row r="15" spans="1:29">
      <c r="A15" s="93">
        <f>A14+1</f>
        <v>2</v>
      </c>
      <c r="B15" s="178"/>
      <c r="C15" s="179"/>
      <c r="D15" s="180"/>
      <c r="E15" s="94"/>
      <c r="F15" s="94"/>
      <c r="G15" s="94"/>
      <c r="H15" s="94"/>
      <c r="I15" s="173"/>
      <c r="J15" s="94"/>
      <c r="K15" s="98"/>
      <c r="L15" s="96">
        <f>IFERROR(INDEX('Appendix B'!$C$5:$C$42,MATCH('Section 4. Goods and Services'!J15,'Appendix B'!$B$5:$B$42,0)),0)</f>
        <v>0</v>
      </c>
      <c r="M15" s="96">
        <f t="shared" ref="M15:M53" si="0">IF(K15&lt;=0,L15,K15)</f>
        <v>0</v>
      </c>
      <c r="N15" s="5">
        <v>0</v>
      </c>
      <c r="O15" s="97">
        <f t="shared" ref="O15:O96" si="1">N15*M15</f>
        <v>0</v>
      </c>
      <c r="P15" s="41" t="str">
        <f>IF(O15&gt;1%*'Section 2. Evaluation'!$C$17,"To be confirmed","")</f>
        <v/>
      </c>
      <c r="Q15" s="92"/>
      <c r="R15" s="92"/>
      <c r="S15" s="92"/>
      <c r="T15" s="92"/>
      <c r="U15" s="92"/>
      <c r="V15" s="92"/>
      <c r="W15" s="92"/>
      <c r="X15" s="92"/>
      <c r="Y15" s="92"/>
      <c r="Z15" s="92"/>
      <c r="AA15" s="92"/>
      <c r="AB15" s="92"/>
      <c r="AC15" s="92"/>
    </row>
    <row r="16" spans="1:29">
      <c r="A16" s="93">
        <f>A15+1</f>
        <v>3</v>
      </c>
      <c r="B16" s="178"/>
      <c r="C16" s="179"/>
      <c r="D16" s="180"/>
      <c r="E16" s="94"/>
      <c r="F16" s="94"/>
      <c r="G16" s="94"/>
      <c r="H16" s="94"/>
      <c r="I16" s="173"/>
      <c r="J16" s="94"/>
      <c r="K16" s="98"/>
      <c r="L16" s="96">
        <f>IFERROR(INDEX('Appendix B'!$C$5:$C$42,MATCH('Section 4. Goods and Services'!J16,'Appendix B'!$B$5:$B$42,0)),0)</f>
        <v>0</v>
      </c>
      <c r="M16" s="96">
        <f t="shared" si="0"/>
        <v>0</v>
      </c>
      <c r="N16" s="5">
        <v>0</v>
      </c>
      <c r="O16" s="97">
        <f t="shared" si="1"/>
        <v>0</v>
      </c>
      <c r="P16" s="41" t="str">
        <f>IF(O16&gt;1%*'Section 2. Evaluation'!$C$17,"To be confirmed","")</f>
        <v/>
      </c>
      <c r="Q16" s="92"/>
      <c r="R16" s="92"/>
      <c r="S16" s="92"/>
      <c r="T16" s="92"/>
      <c r="U16" s="92"/>
      <c r="V16" s="92"/>
      <c r="W16" s="92"/>
      <c r="X16" s="92"/>
      <c r="Y16" s="92"/>
      <c r="Z16" s="92"/>
      <c r="AA16" s="92"/>
      <c r="AB16" s="92"/>
      <c r="AC16" s="92"/>
    </row>
    <row r="17" spans="1:29">
      <c r="A17" s="93">
        <f t="shared" ref="A17:A80" si="2">A16+1</f>
        <v>4</v>
      </c>
      <c r="B17" s="178"/>
      <c r="C17" s="179"/>
      <c r="D17" s="180"/>
      <c r="E17" s="94"/>
      <c r="F17" s="94"/>
      <c r="G17" s="94"/>
      <c r="H17" s="94"/>
      <c r="I17" s="173"/>
      <c r="J17" s="94"/>
      <c r="K17" s="98"/>
      <c r="L17" s="96">
        <f>IFERROR(INDEX('Appendix B'!$C$5:$C$42,MATCH('Section 4. Goods and Services'!J17,'Appendix B'!$B$5:$B$42,0)),0)</f>
        <v>0</v>
      </c>
      <c r="M17" s="96">
        <f t="shared" si="0"/>
        <v>0</v>
      </c>
      <c r="N17" s="5">
        <v>0</v>
      </c>
      <c r="O17" s="97">
        <f t="shared" si="1"/>
        <v>0</v>
      </c>
      <c r="P17" s="41" t="str">
        <f>IF(O17&gt;1%*'Section 2. Evaluation'!$C$17,"To be confirmed","")</f>
        <v/>
      </c>
      <c r="Q17" s="92"/>
      <c r="R17" s="92"/>
      <c r="S17" s="92"/>
      <c r="T17" s="92"/>
      <c r="U17" s="92"/>
      <c r="V17" s="92"/>
      <c r="W17" s="92"/>
      <c r="X17" s="92"/>
      <c r="Y17" s="92"/>
      <c r="Z17" s="92"/>
      <c r="AA17" s="92"/>
      <c r="AB17" s="92"/>
      <c r="AC17" s="92"/>
    </row>
    <row r="18" spans="1:29">
      <c r="A18" s="93">
        <f t="shared" si="2"/>
        <v>5</v>
      </c>
      <c r="B18" s="178"/>
      <c r="C18" s="179"/>
      <c r="D18" s="180"/>
      <c r="E18" s="94"/>
      <c r="F18" s="94"/>
      <c r="G18" s="94"/>
      <c r="H18" s="94"/>
      <c r="I18" s="173"/>
      <c r="J18" s="94"/>
      <c r="K18" s="98"/>
      <c r="L18" s="96">
        <f>IFERROR(INDEX('Appendix B'!$C$5:$C$42,MATCH('Section 4. Goods and Services'!J18,'Appendix B'!$B$5:$B$42,0)),0)</f>
        <v>0</v>
      </c>
      <c r="M18" s="96">
        <f t="shared" si="0"/>
        <v>0</v>
      </c>
      <c r="N18" s="5">
        <v>0</v>
      </c>
      <c r="O18" s="97">
        <f t="shared" si="1"/>
        <v>0</v>
      </c>
      <c r="P18" s="41" t="str">
        <f>IF(O18&gt;1%*'Section 2. Evaluation'!$C$17,"To be confirmed","")</f>
        <v/>
      </c>
      <c r="Q18" s="92"/>
      <c r="R18" s="92"/>
      <c r="S18" s="92"/>
      <c r="T18" s="92"/>
      <c r="U18" s="92"/>
      <c r="V18" s="92"/>
      <c r="W18" s="92"/>
      <c r="X18" s="92"/>
      <c r="Y18" s="92"/>
      <c r="Z18" s="92"/>
      <c r="AA18" s="92"/>
      <c r="AB18" s="92"/>
      <c r="AC18" s="92"/>
    </row>
    <row r="19" spans="1:29">
      <c r="A19" s="93">
        <f t="shared" si="2"/>
        <v>6</v>
      </c>
      <c r="B19" s="178"/>
      <c r="C19" s="179"/>
      <c r="D19" s="180"/>
      <c r="E19" s="94"/>
      <c r="F19" s="94"/>
      <c r="G19" s="94"/>
      <c r="H19" s="94"/>
      <c r="I19" s="173"/>
      <c r="J19" s="94"/>
      <c r="K19" s="98"/>
      <c r="L19" s="96">
        <f>IFERROR(INDEX('Appendix B'!$C$5:$C$42,MATCH('Section 4. Goods and Services'!J19,'Appendix B'!$B$5:$B$42,0)),0)</f>
        <v>0</v>
      </c>
      <c r="M19" s="96">
        <f t="shared" si="0"/>
        <v>0</v>
      </c>
      <c r="N19" s="5">
        <v>0</v>
      </c>
      <c r="O19" s="97">
        <f t="shared" si="1"/>
        <v>0</v>
      </c>
      <c r="P19" s="41" t="str">
        <f>IF(O19&gt;1%*'Section 2. Evaluation'!$C$17,"To be confirmed","")</f>
        <v/>
      </c>
      <c r="Q19" s="92"/>
      <c r="R19" s="92"/>
      <c r="S19" s="92"/>
      <c r="T19" s="92"/>
      <c r="U19" s="92"/>
      <c r="V19" s="92"/>
      <c r="W19" s="92"/>
      <c r="X19" s="92"/>
      <c r="Y19" s="92"/>
      <c r="Z19" s="92"/>
      <c r="AA19" s="92"/>
      <c r="AB19" s="92"/>
      <c r="AC19" s="92"/>
    </row>
    <row r="20" spans="1:29">
      <c r="A20" s="93">
        <f t="shared" si="2"/>
        <v>7</v>
      </c>
      <c r="B20" s="178"/>
      <c r="C20" s="179"/>
      <c r="D20" s="180"/>
      <c r="E20" s="94"/>
      <c r="F20" s="94"/>
      <c r="G20" s="94"/>
      <c r="H20" s="94"/>
      <c r="I20" s="173"/>
      <c r="J20" s="94"/>
      <c r="K20" s="98"/>
      <c r="L20" s="96">
        <f>IFERROR(INDEX('Appendix B'!$C$5:$C$42,MATCH('Section 4. Goods and Services'!J20,'Appendix B'!$B$5:$B$42,0)),0)</f>
        <v>0</v>
      </c>
      <c r="M20" s="96">
        <f t="shared" si="0"/>
        <v>0</v>
      </c>
      <c r="N20" s="5">
        <v>0</v>
      </c>
      <c r="O20" s="97">
        <f t="shared" si="1"/>
        <v>0</v>
      </c>
      <c r="P20" s="41" t="str">
        <f>IF(O20&gt;1%*'Section 2. Evaluation'!$C$17,"To be confirmed","")</f>
        <v/>
      </c>
      <c r="Q20" s="92"/>
      <c r="R20" s="92"/>
      <c r="S20" s="92"/>
      <c r="T20" s="92"/>
      <c r="U20" s="92"/>
      <c r="V20" s="92"/>
      <c r="W20" s="92"/>
      <c r="X20" s="92"/>
      <c r="Y20" s="92"/>
      <c r="Z20" s="92"/>
      <c r="AA20" s="92"/>
      <c r="AB20" s="92"/>
      <c r="AC20" s="92"/>
    </row>
    <row r="21" spans="1:29">
      <c r="A21" s="93">
        <f t="shared" si="2"/>
        <v>8</v>
      </c>
      <c r="B21" s="178"/>
      <c r="C21" s="179"/>
      <c r="D21" s="180"/>
      <c r="E21" s="94"/>
      <c r="F21" s="94"/>
      <c r="G21" s="94"/>
      <c r="H21" s="94"/>
      <c r="I21" s="173"/>
      <c r="J21" s="94"/>
      <c r="K21" s="98"/>
      <c r="L21" s="96">
        <f>IFERROR(INDEX('Appendix B'!$C$5:$C$42,MATCH('Section 4. Goods and Services'!J21,'Appendix B'!$B$5:$B$42,0)),0)</f>
        <v>0</v>
      </c>
      <c r="M21" s="96">
        <f t="shared" si="0"/>
        <v>0</v>
      </c>
      <c r="N21" s="5">
        <v>0</v>
      </c>
      <c r="O21" s="97">
        <f t="shared" si="1"/>
        <v>0</v>
      </c>
      <c r="P21" s="41" t="str">
        <f>IF(O21&gt;1%*'Section 2. Evaluation'!$C$17,"To be confirmed","")</f>
        <v/>
      </c>
      <c r="Q21" s="92"/>
      <c r="R21" s="92"/>
      <c r="S21" s="92"/>
      <c r="T21" s="92"/>
      <c r="U21" s="92"/>
      <c r="V21" s="92"/>
      <c r="W21" s="92"/>
      <c r="X21" s="92"/>
      <c r="Y21" s="92"/>
      <c r="Z21" s="92"/>
      <c r="AA21" s="92"/>
      <c r="AB21" s="92"/>
      <c r="AC21" s="92"/>
    </row>
    <row r="22" spans="1:29">
      <c r="A22" s="93">
        <f t="shared" si="2"/>
        <v>9</v>
      </c>
      <c r="B22" s="178"/>
      <c r="C22" s="179"/>
      <c r="D22" s="180"/>
      <c r="E22" s="94"/>
      <c r="F22" s="94"/>
      <c r="G22" s="94"/>
      <c r="H22" s="94"/>
      <c r="I22" s="173"/>
      <c r="J22" s="94"/>
      <c r="K22" s="98"/>
      <c r="L22" s="96">
        <f>IFERROR(INDEX('Appendix B'!$C$5:$C$42,MATCH('Section 4. Goods and Services'!J22,'Appendix B'!$B$5:$B$42,0)),0)</f>
        <v>0</v>
      </c>
      <c r="M22" s="96">
        <f t="shared" si="0"/>
        <v>0</v>
      </c>
      <c r="N22" s="5">
        <v>0</v>
      </c>
      <c r="O22" s="97">
        <f t="shared" si="1"/>
        <v>0</v>
      </c>
      <c r="P22" s="41" t="str">
        <f>IF(O22&gt;1%*'Section 2. Evaluation'!$C$17,"To be confirmed","")</f>
        <v/>
      </c>
      <c r="Q22" s="92"/>
      <c r="R22" s="92"/>
      <c r="S22" s="92"/>
      <c r="T22" s="92"/>
      <c r="U22" s="92"/>
      <c r="V22" s="92"/>
      <c r="W22" s="92"/>
      <c r="X22" s="92"/>
      <c r="Y22" s="92"/>
      <c r="Z22" s="92"/>
      <c r="AA22" s="92"/>
      <c r="AB22" s="92"/>
      <c r="AC22" s="92"/>
    </row>
    <row r="23" spans="1:29">
      <c r="A23" s="93">
        <f t="shared" si="2"/>
        <v>10</v>
      </c>
      <c r="B23" s="178"/>
      <c r="C23" s="179"/>
      <c r="D23" s="180"/>
      <c r="E23" s="94"/>
      <c r="F23" s="94"/>
      <c r="G23" s="94"/>
      <c r="H23" s="94"/>
      <c r="I23" s="173"/>
      <c r="J23" s="94"/>
      <c r="K23" s="98"/>
      <c r="L23" s="96">
        <f>IFERROR(INDEX('Appendix B'!$C$5:$C$42,MATCH('Section 4. Goods and Services'!J23,'Appendix B'!$B$5:$B$42,0)),0)</f>
        <v>0</v>
      </c>
      <c r="M23" s="96">
        <f t="shared" si="0"/>
        <v>0</v>
      </c>
      <c r="N23" s="5">
        <v>0</v>
      </c>
      <c r="O23" s="97">
        <f t="shared" si="1"/>
        <v>0</v>
      </c>
      <c r="P23" s="41" t="str">
        <f>IF(O23&gt;1%*'Section 2. Evaluation'!$C$17,"To be confirmed","")</f>
        <v/>
      </c>
      <c r="Q23" s="92"/>
      <c r="R23" s="92"/>
      <c r="S23" s="92"/>
      <c r="T23" s="92"/>
      <c r="U23" s="92"/>
      <c r="V23" s="92"/>
      <c r="W23" s="92"/>
      <c r="X23" s="92"/>
      <c r="Y23" s="92"/>
      <c r="Z23" s="92"/>
      <c r="AA23" s="92"/>
      <c r="AB23" s="92"/>
      <c r="AC23" s="92"/>
    </row>
    <row r="24" spans="1:29">
      <c r="A24" s="93">
        <f t="shared" si="2"/>
        <v>11</v>
      </c>
      <c r="B24" s="178"/>
      <c r="C24" s="179"/>
      <c r="D24" s="180"/>
      <c r="E24" s="94"/>
      <c r="F24" s="94"/>
      <c r="G24" s="94"/>
      <c r="H24" s="94"/>
      <c r="I24" s="173"/>
      <c r="J24" s="94"/>
      <c r="K24" s="98"/>
      <c r="L24" s="96">
        <f>IFERROR(INDEX('Appendix B'!$C$5:$C$42,MATCH('Section 4. Goods and Services'!J24,'Appendix B'!$B$5:$B$42,0)),0)</f>
        <v>0</v>
      </c>
      <c r="M24" s="96">
        <f t="shared" si="0"/>
        <v>0</v>
      </c>
      <c r="N24" s="5">
        <v>0</v>
      </c>
      <c r="O24" s="97">
        <f t="shared" si="1"/>
        <v>0</v>
      </c>
      <c r="P24" s="41" t="str">
        <f>IF(O24&gt;1%*'Section 2. Evaluation'!$C$17,"To be confirmed","")</f>
        <v/>
      </c>
      <c r="Q24" s="92"/>
      <c r="R24" s="92"/>
      <c r="S24" s="92"/>
      <c r="T24" s="92"/>
      <c r="U24" s="92"/>
      <c r="V24" s="92"/>
      <c r="W24" s="92"/>
      <c r="X24" s="92"/>
      <c r="Y24" s="92"/>
      <c r="Z24" s="92"/>
      <c r="AA24" s="92"/>
      <c r="AB24" s="92"/>
      <c r="AC24" s="92"/>
    </row>
    <row r="25" spans="1:29">
      <c r="A25" s="93">
        <f t="shared" si="2"/>
        <v>12</v>
      </c>
      <c r="B25" s="178"/>
      <c r="C25" s="179"/>
      <c r="D25" s="180"/>
      <c r="E25" s="94"/>
      <c r="F25" s="94"/>
      <c r="G25" s="94"/>
      <c r="H25" s="94"/>
      <c r="I25" s="173"/>
      <c r="J25" s="94"/>
      <c r="K25" s="98"/>
      <c r="L25" s="96">
        <f>IFERROR(INDEX('Appendix B'!$C$5:$C$42,MATCH('Section 4. Goods and Services'!J25,'Appendix B'!$B$5:$B$42,0)),0)</f>
        <v>0</v>
      </c>
      <c r="M25" s="96">
        <f t="shared" si="0"/>
        <v>0</v>
      </c>
      <c r="N25" s="5">
        <v>0</v>
      </c>
      <c r="O25" s="97">
        <f t="shared" si="1"/>
        <v>0</v>
      </c>
      <c r="P25" s="41" t="str">
        <f>IF(O25&gt;1%*'Section 2. Evaluation'!$C$17,"To be confirmed","")</f>
        <v/>
      </c>
      <c r="Q25" s="92"/>
      <c r="R25" s="92"/>
      <c r="S25" s="92"/>
      <c r="T25" s="92"/>
      <c r="U25" s="92"/>
      <c r="V25" s="92"/>
      <c r="W25" s="92"/>
      <c r="X25" s="92"/>
      <c r="Y25" s="92"/>
      <c r="Z25" s="92"/>
      <c r="AA25" s="92"/>
      <c r="AB25" s="92"/>
      <c r="AC25" s="92"/>
    </row>
    <row r="26" spans="1:29">
      <c r="A26" s="93">
        <f t="shared" si="2"/>
        <v>13</v>
      </c>
      <c r="B26" s="178"/>
      <c r="C26" s="179"/>
      <c r="D26" s="180"/>
      <c r="E26" s="94"/>
      <c r="F26" s="94"/>
      <c r="G26" s="94"/>
      <c r="H26" s="94"/>
      <c r="I26" s="173"/>
      <c r="J26" s="94"/>
      <c r="K26" s="98"/>
      <c r="L26" s="96">
        <f>IFERROR(INDEX('Appendix B'!$C$5:$C$42,MATCH('Section 4. Goods and Services'!J26,'Appendix B'!$B$5:$B$42,0)),0)</f>
        <v>0</v>
      </c>
      <c r="M26" s="96">
        <f t="shared" si="0"/>
        <v>0</v>
      </c>
      <c r="N26" s="5">
        <v>0</v>
      </c>
      <c r="O26" s="97">
        <f t="shared" si="1"/>
        <v>0</v>
      </c>
      <c r="P26" s="41" t="str">
        <f>IF(O26&gt;1%*'Section 2. Evaluation'!$C$17,"To be confirmed","")</f>
        <v/>
      </c>
      <c r="Q26" s="92"/>
      <c r="R26" s="92"/>
      <c r="S26" s="92"/>
      <c r="T26" s="92"/>
      <c r="U26" s="92"/>
      <c r="V26" s="92"/>
      <c r="W26" s="92"/>
      <c r="X26" s="92"/>
      <c r="Y26" s="92"/>
      <c r="Z26" s="92"/>
      <c r="AA26" s="92"/>
      <c r="AB26" s="92"/>
      <c r="AC26" s="92"/>
    </row>
    <row r="27" spans="1:29">
      <c r="A27" s="93">
        <f t="shared" si="2"/>
        <v>14</v>
      </c>
      <c r="B27" s="178"/>
      <c r="C27" s="179"/>
      <c r="D27" s="180"/>
      <c r="E27" s="94"/>
      <c r="F27" s="94"/>
      <c r="G27" s="94"/>
      <c r="H27" s="94"/>
      <c r="I27" s="173"/>
      <c r="J27" s="94"/>
      <c r="K27" s="98"/>
      <c r="L27" s="96">
        <f>IFERROR(INDEX('Appendix B'!$C$5:$C$42,MATCH('Section 4. Goods and Services'!J27,'Appendix B'!$B$5:$B$42,0)),0)</f>
        <v>0</v>
      </c>
      <c r="M27" s="96">
        <f t="shared" si="0"/>
        <v>0</v>
      </c>
      <c r="N27" s="5">
        <v>0</v>
      </c>
      <c r="O27" s="97">
        <f t="shared" si="1"/>
        <v>0</v>
      </c>
      <c r="P27" s="41" t="str">
        <f>IF(O27&gt;1%*'Section 2. Evaluation'!$C$17,"To be confirmed","")</f>
        <v/>
      </c>
      <c r="Q27" s="92"/>
      <c r="R27" s="92"/>
      <c r="S27" s="92"/>
      <c r="T27" s="92"/>
      <c r="U27" s="92"/>
      <c r="V27" s="92"/>
      <c r="W27" s="92"/>
      <c r="X27" s="92"/>
      <c r="Y27" s="92"/>
      <c r="Z27" s="92"/>
      <c r="AA27" s="92"/>
      <c r="AB27" s="92"/>
      <c r="AC27" s="92"/>
    </row>
    <row r="28" spans="1:29">
      <c r="A28" s="93">
        <f>A27+1</f>
        <v>15</v>
      </c>
      <c r="B28" s="178"/>
      <c r="C28" s="179"/>
      <c r="D28" s="180"/>
      <c r="E28" s="94"/>
      <c r="F28" s="94"/>
      <c r="G28" s="94"/>
      <c r="H28" s="94"/>
      <c r="I28" s="173"/>
      <c r="J28" s="94"/>
      <c r="K28" s="98"/>
      <c r="L28" s="96">
        <f>IFERROR(INDEX('Appendix B'!$C$5:$C$42,MATCH('Section 4. Goods and Services'!J28,'Appendix B'!$B$5:$B$42,0)),0)</f>
        <v>0</v>
      </c>
      <c r="M28" s="96">
        <f t="shared" si="0"/>
        <v>0</v>
      </c>
      <c r="N28" s="5">
        <v>0</v>
      </c>
      <c r="O28" s="97">
        <f t="shared" si="1"/>
        <v>0</v>
      </c>
      <c r="P28" s="41" t="str">
        <f>IF(O28&gt;1%*'Section 2. Evaluation'!$C$17,"To be confirmed","")</f>
        <v/>
      </c>
      <c r="Q28" s="92"/>
      <c r="R28" s="92"/>
      <c r="S28" s="92"/>
      <c r="T28" s="92"/>
      <c r="U28" s="92"/>
      <c r="V28" s="92"/>
      <c r="W28" s="92"/>
      <c r="X28" s="92"/>
      <c r="Y28" s="92"/>
      <c r="Z28" s="92"/>
      <c r="AA28" s="92"/>
      <c r="AB28" s="92"/>
      <c r="AC28" s="92"/>
    </row>
    <row r="29" spans="1:29">
      <c r="A29" s="93">
        <f t="shared" si="2"/>
        <v>16</v>
      </c>
      <c r="B29" s="178"/>
      <c r="C29" s="179"/>
      <c r="D29" s="180"/>
      <c r="E29" s="94"/>
      <c r="F29" s="94"/>
      <c r="G29" s="94"/>
      <c r="H29" s="94"/>
      <c r="I29" s="173"/>
      <c r="J29" s="94"/>
      <c r="K29" s="98"/>
      <c r="L29" s="96">
        <f>IFERROR(INDEX('Appendix B'!$C$5:$C$42,MATCH('Section 4. Goods and Services'!J29,'Appendix B'!$B$5:$B$42,0)),0)</f>
        <v>0</v>
      </c>
      <c r="M29" s="96">
        <f t="shared" si="0"/>
        <v>0</v>
      </c>
      <c r="N29" s="5">
        <v>0</v>
      </c>
      <c r="O29" s="97">
        <f t="shared" si="1"/>
        <v>0</v>
      </c>
      <c r="P29" s="41" t="str">
        <f>IF(O29&gt;1%*'Section 2. Evaluation'!$C$17,"To be confirmed","")</f>
        <v/>
      </c>
      <c r="Q29" s="92"/>
      <c r="R29" s="92"/>
      <c r="S29" s="92"/>
      <c r="T29" s="92"/>
      <c r="U29" s="92"/>
      <c r="V29" s="92"/>
      <c r="W29" s="92"/>
      <c r="X29" s="92"/>
      <c r="Y29" s="92"/>
      <c r="Z29" s="92"/>
      <c r="AA29" s="92"/>
      <c r="AB29" s="92"/>
      <c r="AC29" s="92"/>
    </row>
    <row r="30" spans="1:29">
      <c r="A30" s="93">
        <f t="shared" si="2"/>
        <v>17</v>
      </c>
      <c r="B30" s="178"/>
      <c r="C30" s="179"/>
      <c r="D30" s="180"/>
      <c r="E30" s="94"/>
      <c r="F30" s="94"/>
      <c r="G30" s="94"/>
      <c r="H30" s="94"/>
      <c r="I30" s="173"/>
      <c r="J30" s="94"/>
      <c r="K30" s="98"/>
      <c r="L30" s="96">
        <f>IFERROR(INDEX('Appendix B'!$C$5:$C$42,MATCH('Section 4. Goods and Services'!J30,'Appendix B'!$B$5:$B$42,0)),0)</f>
        <v>0</v>
      </c>
      <c r="M30" s="96">
        <f t="shared" si="0"/>
        <v>0</v>
      </c>
      <c r="N30" s="5">
        <v>0</v>
      </c>
      <c r="O30" s="97">
        <f t="shared" si="1"/>
        <v>0</v>
      </c>
      <c r="P30" s="41" t="str">
        <f>IF(O30&gt;1%*'Section 2. Evaluation'!$C$17,"To be confirmed","")</f>
        <v/>
      </c>
      <c r="Q30" s="92"/>
      <c r="R30" s="92"/>
      <c r="S30" s="92"/>
      <c r="T30" s="92"/>
      <c r="U30" s="92"/>
      <c r="V30" s="92"/>
      <c r="W30" s="92"/>
      <c r="X30" s="92"/>
      <c r="Y30" s="92"/>
      <c r="Z30" s="92"/>
      <c r="AA30" s="92"/>
      <c r="AB30" s="92"/>
      <c r="AC30" s="92"/>
    </row>
    <row r="31" spans="1:29">
      <c r="A31" s="93">
        <f t="shared" si="2"/>
        <v>18</v>
      </c>
      <c r="B31" s="178"/>
      <c r="C31" s="179"/>
      <c r="D31" s="180"/>
      <c r="E31" s="94"/>
      <c r="F31" s="94"/>
      <c r="G31" s="94"/>
      <c r="H31" s="94"/>
      <c r="I31" s="173"/>
      <c r="J31" s="94"/>
      <c r="K31" s="98"/>
      <c r="L31" s="96">
        <f>IFERROR(INDEX('Appendix B'!$C$5:$C$42,MATCH('Section 4. Goods and Services'!J31,'Appendix B'!$B$5:$B$42,0)),0)</f>
        <v>0</v>
      </c>
      <c r="M31" s="96">
        <f t="shared" si="0"/>
        <v>0</v>
      </c>
      <c r="N31" s="5">
        <v>0</v>
      </c>
      <c r="O31" s="97">
        <f t="shared" si="1"/>
        <v>0</v>
      </c>
      <c r="P31" s="41" t="str">
        <f>IF(O31&gt;1%*'Section 2. Evaluation'!$C$17,"To be confirmed","")</f>
        <v/>
      </c>
      <c r="Q31" s="92"/>
      <c r="R31" s="92"/>
      <c r="S31" s="92"/>
      <c r="T31" s="92"/>
      <c r="U31" s="92"/>
      <c r="V31" s="92"/>
      <c r="W31" s="92"/>
      <c r="X31" s="92"/>
      <c r="Y31" s="92"/>
      <c r="Z31" s="92"/>
      <c r="AA31" s="92"/>
      <c r="AB31" s="92"/>
      <c r="AC31" s="92"/>
    </row>
    <row r="32" spans="1:29">
      <c r="A32" s="93">
        <f t="shared" si="2"/>
        <v>19</v>
      </c>
      <c r="B32" s="178"/>
      <c r="C32" s="179"/>
      <c r="D32" s="180"/>
      <c r="E32" s="94"/>
      <c r="F32" s="94"/>
      <c r="G32" s="94"/>
      <c r="H32" s="94"/>
      <c r="I32" s="173"/>
      <c r="J32" s="94"/>
      <c r="K32" s="98"/>
      <c r="L32" s="96">
        <f>IFERROR(INDEX('Appendix B'!$C$5:$C$42,MATCH('Section 4. Goods and Services'!J32,'Appendix B'!$B$5:$B$42,0)),0)</f>
        <v>0</v>
      </c>
      <c r="M32" s="96">
        <f t="shared" si="0"/>
        <v>0</v>
      </c>
      <c r="N32" s="5">
        <v>0</v>
      </c>
      <c r="O32" s="97">
        <f t="shared" si="1"/>
        <v>0</v>
      </c>
      <c r="P32" s="41" t="str">
        <f>IF(O32&gt;1%*'Section 2. Evaluation'!$C$17,"To be confirmed","")</f>
        <v/>
      </c>
      <c r="Q32" s="92"/>
      <c r="R32" s="92"/>
      <c r="S32" s="92"/>
      <c r="T32" s="92"/>
      <c r="U32" s="92"/>
      <c r="V32" s="92"/>
      <c r="W32" s="92"/>
      <c r="X32" s="92"/>
      <c r="Y32" s="92"/>
      <c r="Z32" s="92"/>
      <c r="AA32" s="92"/>
      <c r="AB32" s="92"/>
      <c r="AC32" s="92"/>
    </row>
    <row r="33" spans="1:29">
      <c r="A33" s="93">
        <f t="shared" si="2"/>
        <v>20</v>
      </c>
      <c r="B33" s="178"/>
      <c r="C33" s="179"/>
      <c r="D33" s="180"/>
      <c r="E33" s="94"/>
      <c r="F33" s="94"/>
      <c r="G33" s="94"/>
      <c r="H33" s="94"/>
      <c r="I33" s="173"/>
      <c r="J33" s="94"/>
      <c r="K33" s="98"/>
      <c r="L33" s="96">
        <f>IFERROR(INDEX('Appendix B'!$C$5:$C$42,MATCH('Section 4. Goods and Services'!J33,'Appendix B'!$B$5:$B$42,0)),0)</f>
        <v>0</v>
      </c>
      <c r="M33" s="96">
        <f t="shared" si="0"/>
        <v>0</v>
      </c>
      <c r="N33" s="5">
        <v>0</v>
      </c>
      <c r="O33" s="97">
        <f t="shared" si="1"/>
        <v>0</v>
      </c>
      <c r="P33" s="41" t="str">
        <f>IF(O33&gt;1%*'Section 2. Evaluation'!$C$17,"To be confirmed","")</f>
        <v/>
      </c>
      <c r="Q33" s="92"/>
      <c r="R33" s="92"/>
      <c r="S33" s="92"/>
      <c r="T33" s="92"/>
      <c r="U33" s="92"/>
      <c r="V33" s="92"/>
      <c r="W33" s="92"/>
      <c r="X33" s="92"/>
      <c r="Y33" s="92"/>
      <c r="Z33" s="92"/>
      <c r="AA33" s="92"/>
      <c r="AB33" s="92"/>
      <c r="AC33" s="92"/>
    </row>
    <row r="34" spans="1:29">
      <c r="A34" s="93">
        <f t="shared" si="2"/>
        <v>21</v>
      </c>
      <c r="B34" s="178"/>
      <c r="C34" s="179"/>
      <c r="D34" s="180"/>
      <c r="E34" s="94"/>
      <c r="F34" s="94"/>
      <c r="G34" s="94"/>
      <c r="H34" s="94"/>
      <c r="I34" s="173"/>
      <c r="J34" s="94"/>
      <c r="K34" s="98"/>
      <c r="L34" s="96">
        <f>IFERROR(INDEX('Appendix B'!$C$5:$C$42,MATCH('Section 4. Goods and Services'!J34,'Appendix B'!$B$5:$B$42,0)),0)</f>
        <v>0</v>
      </c>
      <c r="M34" s="96">
        <f t="shared" si="0"/>
        <v>0</v>
      </c>
      <c r="N34" s="5">
        <v>0</v>
      </c>
      <c r="O34" s="97">
        <f t="shared" si="1"/>
        <v>0</v>
      </c>
      <c r="P34" s="41" t="str">
        <f>IF(O34&gt;1%*'Section 2. Evaluation'!$C$17,"To be confirmed","")</f>
        <v/>
      </c>
      <c r="Q34" s="92"/>
      <c r="R34" s="92"/>
      <c r="S34" s="92"/>
      <c r="T34" s="92"/>
      <c r="U34" s="92"/>
      <c r="V34" s="92"/>
      <c r="W34" s="92"/>
      <c r="X34" s="92"/>
      <c r="Y34" s="92"/>
      <c r="Z34" s="92"/>
      <c r="AA34" s="92"/>
      <c r="AB34" s="92"/>
      <c r="AC34" s="92"/>
    </row>
    <row r="35" spans="1:29">
      <c r="A35" s="93">
        <f t="shared" si="2"/>
        <v>22</v>
      </c>
      <c r="B35" s="178"/>
      <c r="C35" s="179"/>
      <c r="D35" s="180"/>
      <c r="E35" s="94"/>
      <c r="F35" s="94"/>
      <c r="G35" s="94"/>
      <c r="H35" s="94"/>
      <c r="I35" s="173"/>
      <c r="J35" s="94"/>
      <c r="K35" s="98"/>
      <c r="L35" s="96">
        <f>IFERROR(INDEX('Appendix B'!$C$5:$C$42,MATCH('Section 4. Goods and Services'!J35,'Appendix B'!$B$5:$B$42,0)),0)</f>
        <v>0</v>
      </c>
      <c r="M35" s="96">
        <f t="shared" si="0"/>
        <v>0</v>
      </c>
      <c r="N35" s="5">
        <v>0</v>
      </c>
      <c r="O35" s="97">
        <f t="shared" si="1"/>
        <v>0</v>
      </c>
      <c r="P35" s="41" t="str">
        <f>IF(O35&gt;1%*'Section 2. Evaluation'!$C$17,"To be confirmed","")</f>
        <v/>
      </c>
      <c r="Q35" s="92"/>
      <c r="R35" s="92"/>
      <c r="S35" s="92"/>
      <c r="T35" s="92"/>
      <c r="U35" s="92"/>
      <c r="V35" s="92"/>
      <c r="W35" s="92"/>
      <c r="X35" s="92"/>
      <c r="Y35" s="92"/>
      <c r="Z35" s="92"/>
      <c r="AA35" s="92"/>
      <c r="AB35" s="92"/>
      <c r="AC35" s="92"/>
    </row>
    <row r="36" spans="1:29">
      <c r="A36" s="93">
        <f t="shared" si="2"/>
        <v>23</v>
      </c>
      <c r="B36" s="178"/>
      <c r="C36" s="179"/>
      <c r="D36" s="180"/>
      <c r="E36" s="94"/>
      <c r="F36" s="94"/>
      <c r="G36" s="94"/>
      <c r="H36" s="94"/>
      <c r="I36" s="173"/>
      <c r="J36" s="94"/>
      <c r="K36" s="98"/>
      <c r="L36" s="96">
        <f>IFERROR(INDEX('Appendix B'!$C$5:$C$42,MATCH('Section 4. Goods and Services'!J36,'Appendix B'!$B$5:$B$42,0)),0)</f>
        <v>0</v>
      </c>
      <c r="M36" s="96">
        <f t="shared" si="0"/>
        <v>0</v>
      </c>
      <c r="N36" s="5">
        <v>0</v>
      </c>
      <c r="O36" s="97">
        <f t="shared" si="1"/>
        <v>0</v>
      </c>
      <c r="P36" s="41" t="str">
        <f>IF(O36&gt;1%*'Section 2. Evaluation'!$C$17,"To be confirmed","")</f>
        <v/>
      </c>
      <c r="Q36" s="92"/>
      <c r="R36" s="92"/>
      <c r="S36" s="92"/>
      <c r="T36" s="92"/>
      <c r="U36" s="92"/>
      <c r="V36" s="92"/>
      <c r="W36" s="92"/>
      <c r="X36" s="92"/>
      <c r="Y36" s="92"/>
      <c r="Z36" s="92"/>
      <c r="AA36" s="92"/>
      <c r="AB36" s="92"/>
      <c r="AC36" s="92"/>
    </row>
    <row r="37" spans="1:29">
      <c r="A37" s="93">
        <f t="shared" si="2"/>
        <v>24</v>
      </c>
      <c r="B37" s="178"/>
      <c r="C37" s="179"/>
      <c r="D37" s="180"/>
      <c r="E37" s="94"/>
      <c r="F37" s="94"/>
      <c r="G37" s="94"/>
      <c r="H37" s="94"/>
      <c r="I37" s="173"/>
      <c r="J37" s="94"/>
      <c r="K37" s="98"/>
      <c r="L37" s="96">
        <f>IFERROR(INDEX('Appendix B'!$C$5:$C$42,MATCH('Section 4. Goods and Services'!J37,'Appendix B'!$B$5:$B$42,0)),0)</f>
        <v>0</v>
      </c>
      <c r="M37" s="96">
        <f t="shared" si="0"/>
        <v>0</v>
      </c>
      <c r="N37" s="5">
        <v>0</v>
      </c>
      <c r="O37" s="97">
        <f t="shared" si="1"/>
        <v>0</v>
      </c>
      <c r="P37" s="41" t="str">
        <f>IF(O37&gt;1%*'Section 2. Evaluation'!$C$17,"To be confirmed","")</f>
        <v/>
      </c>
      <c r="Q37" s="92"/>
      <c r="R37" s="92"/>
      <c r="S37" s="92"/>
      <c r="T37" s="92"/>
      <c r="U37" s="92"/>
      <c r="V37" s="92"/>
      <c r="W37" s="92"/>
      <c r="X37" s="92"/>
      <c r="Y37" s="92"/>
      <c r="Z37" s="92"/>
      <c r="AA37" s="92"/>
      <c r="AB37" s="92"/>
      <c r="AC37" s="92"/>
    </row>
    <row r="38" spans="1:29">
      <c r="A38" s="93">
        <f t="shared" si="2"/>
        <v>25</v>
      </c>
      <c r="B38" s="178"/>
      <c r="C38" s="179"/>
      <c r="D38" s="180"/>
      <c r="E38" s="94"/>
      <c r="F38" s="94"/>
      <c r="G38" s="94"/>
      <c r="H38" s="94"/>
      <c r="I38" s="173"/>
      <c r="J38" s="94"/>
      <c r="K38" s="98"/>
      <c r="L38" s="96">
        <f>IFERROR(INDEX('Appendix B'!$C$5:$C$42,MATCH('Section 4. Goods and Services'!J38,'Appendix B'!$B$5:$B$42,0)),0)</f>
        <v>0</v>
      </c>
      <c r="M38" s="96">
        <f t="shared" si="0"/>
        <v>0</v>
      </c>
      <c r="N38" s="5">
        <v>0</v>
      </c>
      <c r="O38" s="97">
        <f t="shared" si="1"/>
        <v>0</v>
      </c>
      <c r="P38" s="41" t="str">
        <f>IF(O38&gt;1%*'Section 2. Evaluation'!$C$17,"To be confirmed","")</f>
        <v/>
      </c>
      <c r="Q38" s="92"/>
      <c r="R38" s="92"/>
      <c r="S38" s="92"/>
      <c r="T38" s="92"/>
      <c r="U38" s="92"/>
      <c r="V38" s="92"/>
      <c r="W38" s="92"/>
      <c r="X38" s="92"/>
      <c r="Y38" s="92"/>
      <c r="Z38" s="92"/>
      <c r="AA38" s="92"/>
      <c r="AB38" s="92"/>
      <c r="AC38" s="92"/>
    </row>
    <row r="39" spans="1:29">
      <c r="A39" s="93">
        <f t="shared" si="2"/>
        <v>26</v>
      </c>
      <c r="B39" s="178"/>
      <c r="C39" s="179"/>
      <c r="D39" s="180"/>
      <c r="E39" s="94"/>
      <c r="F39" s="94"/>
      <c r="G39" s="94"/>
      <c r="H39" s="94"/>
      <c r="I39" s="173"/>
      <c r="J39" s="94"/>
      <c r="K39" s="98"/>
      <c r="L39" s="96">
        <f>IFERROR(INDEX('Appendix B'!$C$5:$C$42,MATCH('Section 4. Goods and Services'!J39,'Appendix B'!$B$5:$B$42,0)),0)</f>
        <v>0</v>
      </c>
      <c r="M39" s="96">
        <f t="shared" si="0"/>
        <v>0</v>
      </c>
      <c r="N39" s="5">
        <v>0</v>
      </c>
      <c r="O39" s="97">
        <f t="shared" si="1"/>
        <v>0</v>
      </c>
      <c r="P39" s="41" t="str">
        <f>IF(O39&gt;1%*'Section 2. Evaluation'!$C$17,"To be confirmed","")</f>
        <v/>
      </c>
      <c r="Q39" s="92"/>
      <c r="R39" s="92"/>
      <c r="S39" s="92"/>
      <c r="T39" s="92"/>
      <c r="U39" s="92"/>
      <c r="V39" s="92"/>
      <c r="W39" s="92"/>
      <c r="X39" s="92"/>
      <c r="Y39" s="92"/>
      <c r="Z39" s="92"/>
      <c r="AA39" s="92"/>
      <c r="AB39" s="92"/>
      <c r="AC39" s="92"/>
    </row>
    <row r="40" spans="1:29">
      <c r="A40" s="93">
        <f t="shared" si="2"/>
        <v>27</v>
      </c>
      <c r="B40" s="178"/>
      <c r="C40" s="179"/>
      <c r="D40" s="180"/>
      <c r="E40" s="94"/>
      <c r="F40" s="94"/>
      <c r="G40" s="94"/>
      <c r="H40" s="94"/>
      <c r="I40" s="173"/>
      <c r="J40" s="94"/>
      <c r="K40" s="98"/>
      <c r="L40" s="96">
        <f>IFERROR(INDEX('Appendix B'!$C$5:$C$42,MATCH('Section 4. Goods and Services'!J40,'Appendix B'!$B$5:$B$42,0)),0)</f>
        <v>0</v>
      </c>
      <c r="M40" s="96">
        <f t="shared" si="0"/>
        <v>0</v>
      </c>
      <c r="N40" s="5">
        <v>0</v>
      </c>
      <c r="O40" s="97">
        <f t="shared" si="1"/>
        <v>0</v>
      </c>
      <c r="P40" s="41" t="str">
        <f>IF(O40&gt;1%*'Section 2. Evaluation'!$C$17,"To be confirmed","")</f>
        <v/>
      </c>
      <c r="Q40" s="92"/>
      <c r="R40" s="92"/>
      <c r="S40" s="92"/>
      <c r="T40" s="92"/>
      <c r="U40" s="92"/>
      <c r="V40" s="92"/>
      <c r="W40" s="92"/>
      <c r="X40" s="92"/>
      <c r="Y40" s="92"/>
      <c r="Z40" s="92"/>
      <c r="AA40" s="92"/>
      <c r="AB40" s="92"/>
      <c r="AC40" s="92"/>
    </row>
    <row r="41" spans="1:29">
      <c r="A41" s="93">
        <f t="shared" si="2"/>
        <v>28</v>
      </c>
      <c r="B41" s="178"/>
      <c r="C41" s="179"/>
      <c r="D41" s="180"/>
      <c r="E41" s="94"/>
      <c r="F41" s="94"/>
      <c r="G41" s="94"/>
      <c r="H41" s="94"/>
      <c r="I41" s="173"/>
      <c r="J41" s="94"/>
      <c r="K41" s="98"/>
      <c r="L41" s="96">
        <f>IFERROR(INDEX('Appendix B'!$C$5:$C$42,MATCH('Section 4. Goods and Services'!J41,'Appendix B'!$B$5:$B$42,0)),0)</f>
        <v>0</v>
      </c>
      <c r="M41" s="96">
        <f t="shared" si="0"/>
        <v>0</v>
      </c>
      <c r="N41" s="5">
        <v>0</v>
      </c>
      <c r="O41" s="97">
        <f t="shared" si="1"/>
        <v>0</v>
      </c>
      <c r="P41" s="41" t="str">
        <f>IF(O41&gt;1%*'Section 2. Evaluation'!$C$17,"To be confirmed","")</f>
        <v/>
      </c>
      <c r="Q41" s="92"/>
      <c r="R41" s="92"/>
      <c r="S41" s="92"/>
      <c r="T41" s="92"/>
      <c r="U41" s="92"/>
      <c r="V41" s="92"/>
      <c r="W41" s="92"/>
      <c r="X41" s="92"/>
      <c r="Y41" s="92"/>
      <c r="Z41" s="92"/>
      <c r="AA41" s="92"/>
      <c r="AB41" s="92"/>
      <c r="AC41" s="92"/>
    </row>
    <row r="42" spans="1:29">
      <c r="A42" s="93">
        <f t="shared" si="2"/>
        <v>29</v>
      </c>
      <c r="B42" s="178"/>
      <c r="C42" s="179"/>
      <c r="D42" s="180"/>
      <c r="E42" s="94"/>
      <c r="F42" s="94"/>
      <c r="G42" s="94"/>
      <c r="H42" s="94"/>
      <c r="I42" s="173"/>
      <c r="J42" s="94"/>
      <c r="K42" s="98"/>
      <c r="L42" s="96">
        <f>IFERROR(INDEX('Appendix B'!$C$5:$C$42,MATCH('Section 4. Goods and Services'!J42,'Appendix B'!$B$5:$B$42,0)),0)</f>
        <v>0</v>
      </c>
      <c r="M42" s="96">
        <f t="shared" si="0"/>
        <v>0</v>
      </c>
      <c r="N42" s="5">
        <v>0</v>
      </c>
      <c r="O42" s="97">
        <f t="shared" si="1"/>
        <v>0</v>
      </c>
      <c r="P42" s="41" t="str">
        <f>IF(O42&gt;1%*'Section 2. Evaluation'!$C$17,"To be confirmed","")</f>
        <v/>
      </c>
      <c r="Q42" s="92"/>
      <c r="R42" s="92"/>
      <c r="S42" s="92"/>
      <c r="T42" s="92"/>
      <c r="U42" s="92"/>
      <c r="V42" s="92"/>
      <c r="W42" s="92"/>
      <c r="X42" s="92"/>
      <c r="Y42" s="92"/>
      <c r="Z42" s="92"/>
      <c r="AA42" s="92"/>
      <c r="AB42" s="92"/>
      <c r="AC42" s="92"/>
    </row>
    <row r="43" spans="1:29">
      <c r="A43" s="93">
        <f t="shared" si="2"/>
        <v>30</v>
      </c>
      <c r="B43" s="178"/>
      <c r="C43" s="179"/>
      <c r="D43" s="180"/>
      <c r="E43" s="94"/>
      <c r="F43" s="94"/>
      <c r="G43" s="94"/>
      <c r="H43" s="94"/>
      <c r="I43" s="173"/>
      <c r="J43" s="94"/>
      <c r="K43" s="98"/>
      <c r="L43" s="96">
        <f>IFERROR(INDEX('Appendix B'!$C$5:$C$42,MATCH('Section 4. Goods and Services'!J43,'Appendix B'!$B$5:$B$42,0)),0)</f>
        <v>0</v>
      </c>
      <c r="M43" s="96">
        <f t="shared" si="0"/>
        <v>0</v>
      </c>
      <c r="N43" s="5">
        <v>0</v>
      </c>
      <c r="O43" s="97">
        <f t="shared" si="1"/>
        <v>0</v>
      </c>
      <c r="P43" s="41" t="str">
        <f>IF(O43&gt;1%*'Section 2. Evaluation'!$C$17,"To be confirmed","")</f>
        <v/>
      </c>
      <c r="Q43" s="92"/>
      <c r="R43" s="92"/>
      <c r="S43" s="92"/>
      <c r="T43" s="92"/>
      <c r="U43" s="92"/>
      <c r="V43" s="92"/>
      <c r="W43" s="92"/>
      <c r="X43" s="92"/>
      <c r="Y43" s="92"/>
      <c r="Z43" s="92"/>
      <c r="AA43" s="92"/>
      <c r="AB43" s="92"/>
      <c r="AC43" s="92"/>
    </row>
    <row r="44" spans="1:29">
      <c r="A44" s="93">
        <f t="shared" si="2"/>
        <v>31</v>
      </c>
      <c r="B44" s="178"/>
      <c r="C44" s="179"/>
      <c r="D44" s="180"/>
      <c r="E44" s="94"/>
      <c r="F44" s="94"/>
      <c r="G44" s="94"/>
      <c r="H44" s="94"/>
      <c r="I44" s="173"/>
      <c r="J44" s="94"/>
      <c r="K44" s="98"/>
      <c r="L44" s="96">
        <f>IFERROR(INDEX('Appendix B'!$C$5:$C$42,MATCH('Section 4. Goods and Services'!J44,'Appendix B'!$B$5:$B$42,0)),0)</f>
        <v>0</v>
      </c>
      <c r="M44" s="96">
        <f t="shared" si="0"/>
        <v>0</v>
      </c>
      <c r="N44" s="5">
        <v>0</v>
      </c>
      <c r="O44" s="97">
        <f t="shared" si="1"/>
        <v>0</v>
      </c>
      <c r="P44" s="41" t="str">
        <f>IF(O44&gt;1%*'Section 2. Evaluation'!$C$17,"To be confirmed","")</f>
        <v/>
      </c>
      <c r="Q44" s="92"/>
      <c r="R44" s="92"/>
      <c r="S44" s="92"/>
      <c r="T44" s="92"/>
      <c r="U44" s="92"/>
      <c r="V44" s="92"/>
      <c r="W44" s="92"/>
      <c r="X44" s="92"/>
      <c r="Y44" s="92"/>
      <c r="Z44" s="92"/>
      <c r="AA44" s="92"/>
      <c r="AB44" s="92"/>
      <c r="AC44" s="92"/>
    </row>
    <row r="45" spans="1:29">
      <c r="A45" s="93">
        <f t="shared" si="2"/>
        <v>32</v>
      </c>
      <c r="B45" s="178"/>
      <c r="C45" s="179"/>
      <c r="D45" s="180"/>
      <c r="E45" s="94"/>
      <c r="F45" s="94"/>
      <c r="G45" s="94"/>
      <c r="H45" s="94"/>
      <c r="I45" s="173"/>
      <c r="J45" s="94"/>
      <c r="K45" s="98"/>
      <c r="L45" s="96">
        <f>IFERROR(INDEX('Appendix B'!$C$5:$C$42,MATCH('Section 4. Goods and Services'!J45,'Appendix B'!$B$5:$B$42,0)),0)</f>
        <v>0</v>
      </c>
      <c r="M45" s="96">
        <f t="shared" si="0"/>
        <v>0</v>
      </c>
      <c r="N45" s="5">
        <v>0</v>
      </c>
      <c r="O45" s="97">
        <f t="shared" si="1"/>
        <v>0</v>
      </c>
      <c r="P45" s="41" t="str">
        <f>IF(O45&gt;1%*'Section 2. Evaluation'!$C$17,"To be confirmed","")</f>
        <v/>
      </c>
      <c r="Q45" s="92"/>
      <c r="R45" s="92"/>
      <c r="S45" s="92"/>
      <c r="T45" s="92"/>
      <c r="U45" s="92"/>
      <c r="V45" s="92"/>
      <c r="W45" s="92"/>
      <c r="X45" s="92"/>
      <c r="Y45" s="92"/>
      <c r="Z45" s="92"/>
      <c r="AA45" s="92"/>
      <c r="AB45" s="92"/>
      <c r="AC45" s="92"/>
    </row>
    <row r="46" spans="1:29">
      <c r="A46" s="93">
        <f t="shared" si="2"/>
        <v>33</v>
      </c>
      <c r="B46" s="178"/>
      <c r="C46" s="179"/>
      <c r="D46" s="180"/>
      <c r="E46" s="94"/>
      <c r="F46" s="94"/>
      <c r="G46" s="94"/>
      <c r="H46" s="94"/>
      <c r="I46" s="173"/>
      <c r="J46" s="94"/>
      <c r="K46" s="98"/>
      <c r="L46" s="96">
        <f>IFERROR(INDEX('Appendix B'!$C$5:$C$42,MATCH('Section 4. Goods and Services'!J46,'Appendix B'!$B$5:$B$42,0)),0)</f>
        <v>0</v>
      </c>
      <c r="M46" s="96">
        <f t="shared" si="0"/>
        <v>0</v>
      </c>
      <c r="N46" s="5">
        <v>0</v>
      </c>
      <c r="O46" s="97">
        <f t="shared" si="1"/>
        <v>0</v>
      </c>
      <c r="P46" s="41" t="str">
        <f>IF(O46&gt;1%*'Section 2. Evaluation'!$C$17,"To be confirmed","")</f>
        <v/>
      </c>
      <c r="Q46" s="92"/>
      <c r="R46" s="92"/>
      <c r="S46" s="92"/>
      <c r="T46" s="92"/>
      <c r="U46" s="92"/>
      <c r="V46" s="92"/>
      <c r="W46" s="92"/>
      <c r="X46" s="92"/>
      <c r="Y46" s="92"/>
      <c r="Z46" s="92"/>
      <c r="AA46" s="92"/>
      <c r="AB46" s="92"/>
      <c r="AC46" s="92"/>
    </row>
    <row r="47" spans="1:29">
      <c r="A47" s="93">
        <f t="shared" si="2"/>
        <v>34</v>
      </c>
      <c r="B47" s="178"/>
      <c r="C47" s="179"/>
      <c r="D47" s="180"/>
      <c r="E47" s="94"/>
      <c r="F47" s="94"/>
      <c r="G47" s="94"/>
      <c r="H47" s="94"/>
      <c r="I47" s="173"/>
      <c r="J47" s="94"/>
      <c r="K47" s="98"/>
      <c r="L47" s="96">
        <f>IFERROR(INDEX('Appendix B'!$C$5:$C$42,MATCH('Section 4. Goods and Services'!J47,'Appendix B'!$B$5:$B$42,0)),0)</f>
        <v>0</v>
      </c>
      <c r="M47" s="96">
        <f t="shared" si="0"/>
        <v>0</v>
      </c>
      <c r="N47" s="5">
        <v>0</v>
      </c>
      <c r="O47" s="97">
        <f t="shared" si="1"/>
        <v>0</v>
      </c>
      <c r="P47" s="41" t="str">
        <f>IF(O47&gt;1%*'Section 2. Evaluation'!$C$17,"To be confirmed","")</f>
        <v/>
      </c>
      <c r="Q47" s="92"/>
      <c r="R47" s="92"/>
      <c r="S47" s="92"/>
      <c r="T47" s="92"/>
      <c r="U47" s="92"/>
      <c r="V47" s="92"/>
      <c r="W47" s="92"/>
      <c r="X47" s="92"/>
      <c r="Y47" s="92"/>
      <c r="Z47" s="92"/>
      <c r="AA47" s="92"/>
      <c r="AB47" s="92"/>
      <c r="AC47" s="92"/>
    </row>
    <row r="48" spans="1:29">
      <c r="A48" s="93">
        <f t="shared" si="2"/>
        <v>35</v>
      </c>
      <c r="B48" s="178"/>
      <c r="C48" s="179"/>
      <c r="D48" s="180"/>
      <c r="E48" s="94"/>
      <c r="F48" s="94"/>
      <c r="G48" s="94"/>
      <c r="H48" s="94"/>
      <c r="I48" s="173"/>
      <c r="J48" s="94"/>
      <c r="K48" s="98"/>
      <c r="L48" s="96">
        <f>IFERROR(INDEX('Appendix B'!$C$5:$C$42,MATCH('Section 4. Goods and Services'!J48,'Appendix B'!$B$5:$B$42,0)),0)</f>
        <v>0</v>
      </c>
      <c r="M48" s="96">
        <f t="shared" si="0"/>
        <v>0</v>
      </c>
      <c r="N48" s="5">
        <v>0</v>
      </c>
      <c r="O48" s="97">
        <f t="shared" si="1"/>
        <v>0</v>
      </c>
      <c r="P48" s="41" t="str">
        <f>IF(O48&gt;1%*'Section 2. Evaluation'!$C$17,"To be confirmed","")</f>
        <v/>
      </c>
      <c r="Q48" s="92"/>
      <c r="R48" s="92"/>
      <c r="S48" s="92"/>
      <c r="T48" s="92"/>
      <c r="U48" s="92"/>
      <c r="V48" s="92"/>
      <c r="W48" s="92"/>
      <c r="X48" s="92"/>
      <c r="Y48" s="92"/>
      <c r="Z48" s="92"/>
      <c r="AA48" s="92"/>
      <c r="AB48" s="92"/>
      <c r="AC48" s="92"/>
    </row>
    <row r="49" spans="1:29">
      <c r="A49" s="93">
        <f t="shared" si="2"/>
        <v>36</v>
      </c>
      <c r="B49" s="178"/>
      <c r="C49" s="179"/>
      <c r="D49" s="180"/>
      <c r="E49" s="94"/>
      <c r="F49" s="94"/>
      <c r="G49" s="94"/>
      <c r="H49" s="94"/>
      <c r="I49" s="173"/>
      <c r="J49" s="94"/>
      <c r="K49" s="98"/>
      <c r="L49" s="96">
        <f>IFERROR(INDEX('Appendix B'!$C$5:$C$42,MATCH('Section 4. Goods and Services'!J49,'Appendix B'!$B$5:$B$42,0)),0)</f>
        <v>0</v>
      </c>
      <c r="M49" s="96">
        <f t="shared" si="0"/>
        <v>0</v>
      </c>
      <c r="N49" s="5">
        <v>0</v>
      </c>
      <c r="O49" s="97">
        <f t="shared" si="1"/>
        <v>0</v>
      </c>
      <c r="P49" s="41" t="str">
        <f>IF(O49&gt;1%*'Section 2. Evaluation'!$C$17,"To be confirmed","")</f>
        <v/>
      </c>
      <c r="Q49" s="92"/>
      <c r="R49" s="92"/>
      <c r="S49" s="92"/>
      <c r="T49" s="92"/>
      <c r="U49" s="92"/>
      <c r="V49" s="92"/>
      <c r="W49" s="92"/>
      <c r="X49" s="92"/>
      <c r="Y49" s="92"/>
      <c r="Z49" s="92"/>
      <c r="AA49" s="92"/>
      <c r="AB49" s="92"/>
      <c r="AC49" s="92"/>
    </row>
    <row r="50" spans="1:29">
      <c r="A50" s="93">
        <f t="shared" si="2"/>
        <v>37</v>
      </c>
      <c r="B50" s="178"/>
      <c r="C50" s="179"/>
      <c r="D50" s="180"/>
      <c r="E50" s="94"/>
      <c r="F50" s="94"/>
      <c r="G50" s="94"/>
      <c r="H50" s="94"/>
      <c r="I50" s="173"/>
      <c r="J50" s="94"/>
      <c r="K50" s="98"/>
      <c r="L50" s="96">
        <f>IFERROR(INDEX('Appendix B'!$C$5:$C$42,MATCH('Section 4. Goods and Services'!J50,'Appendix B'!$B$5:$B$42,0)),0)</f>
        <v>0</v>
      </c>
      <c r="M50" s="96">
        <f t="shared" si="0"/>
        <v>0</v>
      </c>
      <c r="N50" s="5">
        <v>0</v>
      </c>
      <c r="O50" s="97">
        <f t="shared" si="1"/>
        <v>0</v>
      </c>
      <c r="P50" s="41" t="str">
        <f>IF(O50&gt;1%*'Section 2. Evaluation'!$C$17,"To be confirmed","")</f>
        <v/>
      </c>
      <c r="Q50" s="92"/>
      <c r="R50" s="92"/>
      <c r="S50" s="92"/>
      <c r="T50" s="92"/>
      <c r="U50" s="92"/>
      <c r="V50" s="92"/>
      <c r="W50" s="92"/>
      <c r="X50" s="92"/>
      <c r="Y50" s="92"/>
      <c r="Z50" s="92"/>
      <c r="AA50" s="92"/>
      <c r="AB50" s="92"/>
      <c r="AC50" s="92"/>
    </row>
    <row r="51" spans="1:29">
      <c r="A51" s="93">
        <f t="shared" si="2"/>
        <v>38</v>
      </c>
      <c r="B51" s="178"/>
      <c r="C51" s="179"/>
      <c r="D51" s="180"/>
      <c r="E51" s="94"/>
      <c r="F51" s="94"/>
      <c r="G51" s="94"/>
      <c r="H51" s="94"/>
      <c r="I51" s="173"/>
      <c r="J51" s="94"/>
      <c r="K51" s="98"/>
      <c r="L51" s="96">
        <f>IFERROR(INDEX('Appendix B'!$C$5:$C$42,MATCH('Section 4. Goods and Services'!J51,'Appendix B'!$B$5:$B$42,0)),0)</f>
        <v>0</v>
      </c>
      <c r="M51" s="96">
        <f t="shared" si="0"/>
        <v>0</v>
      </c>
      <c r="N51" s="5">
        <v>0</v>
      </c>
      <c r="O51" s="97">
        <f t="shared" si="1"/>
        <v>0</v>
      </c>
      <c r="P51" s="41" t="str">
        <f>IF(O51&gt;1%*'Section 2. Evaluation'!$C$17,"To be confirmed","")</f>
        <v/>
      </c>
      <c r="Q51" s="92"/>
      <c r="R51" s="92"/>
      <c r="S51" s="92"/>
      <c r="T51" s="92"/>
      <c r="U51" s="92"/>
      <c r="V51" s="92"/>
      <c r="W51" s="92"/>
      <c r="X51" s="92"/>
      <c r="Y51" s="92"/>
      <c r="Z51" s="92"/>
      <c r="AA51" s="92"/>
      <c r="AB51" s="92"/>
      <c r="AC51" s="92"/>
    </row>
    <row r="52" spans="1:29">
      <c r="A52" s="93">
        <f t="shared" si="2"/>
        <v>39</v>
      </c>
      <c r="B52" s="178"/>
      <c r="C52" s="179"/>
      <c r="D52" s="180"/>
      <c r="E52" s="94"/>
      <c r="F52" s="94"/>
      <c r="G52" s="94"/>
      <c r="H52" s="94"/>
      <c r="I52" s="173"/>
      <c r="J52" s="94"/>
      <c r="K52" s="98"/>
      <c r="L52" s="96">
        <f>IFERROR(INDEX('Appendix B'!$C$5:$C$42,MATCH('Section 4. Goods and Services'!J52,'Appendix B'!$B$5:$B$42,0)),0)</f>
        <v>0</v>
      </c>
      <c r="M52" s="96">
        <f t="shared" si="0"/>
        <v>0</v>
      </c>
      <c r="N52" s="5">
        <v>0</v>
      </c>
      <c r="O52" s="97">
        <f t="shared" si="1"/>
        <v>0</v>
      </c>
      <c r="P52" s="41" t="str">
        <f>IF(O52&gt;1%*'Section 2. Evaluation'!$C$17,"To be confirmed","")</f>
        <v/>
      </c>
      <c r="Q52" s="92"/>
      <c r="R52" s="92"/>
      <c r="S52" s="92"/>
      <c r="T52" s="92"/>
      <c r="U52" s="92"/>
      <c r="V52" s="92"/>
      <c r="W52" s="92"/>
      <c r="X52" s="92"/>
      <c r="Y52" s="92"/>
      <c r="Z52" s="92"/>
      <c r="AA52" s="92"/>
      <c r="AB52" s="92"/>
      <c r="AC52" s="92"/>
    </row>
    <row r="53" spans="1:29" ht="15.75" thickBot="1">
      <c r="A53" s="99">
        <f t="shared" si="2"/>
        <v>40</v>
      </c>
      <c r="B53" s="203"/>
      <c r="C53" s="204"/>
      <c r="D53" s="205"/>
      <c r="E53" s="100"/>
      <c r="F53" s="100"/>
      <c r="G53" s="100"/>
      <c r="H53" s="100"/>
      <c r="I53" s="174"/>
      <c r="J53" s="100"/>
      <c r="K53" s="101"/>
      <c r="L53" s="102">
        <f>IFERROR(INDEX('Appendix B'!$C$5:$C$42,MATCH('Section 4. Goods and Services'!J53,'Appendix B'!$B$5:$B$42,0)),0)</f>
        <v>0</v>
      </c>
      <c r="M53" s="102">
        <f t="shared" si="0"/>
        <v>0</v>
      </c>
      <c r="N53" s="103">
        <v>0</v>
      </c>
      <c r="O53" s="104">
        <f t="shared" si="1"/>
        <v>0</v>
      </c>
      <c r="P53" s="41" t="str">
        <f>IF(O53&gt;1%*'Section 2. Evaluation'!$C$17,"To be confirmed","")</f>
        <v/>
      </c>
      <c r="Q53" s="92"/>
      <c r="R53" s="92"/>
      <c r="S53" s="92"/>
      <c r="T53" s="92"/>
      <c r="U53" s="92"/>
      <c r="V53" s="92"/>
      <c r="W53" s="92"/>
      <c r="X53" s="92"/>
      <c r="Y53" s="92"/>
      <c r="Z53" s="92"/>
      <c r="AA53" s="92"/>
      <c r="AB53" s="92"/>
      <c r="AC53" s="92"/>
    </row>
    <row r="54" spans="1:29">
      <c r="A54" s="93">
        <f t="shared" si="2"/>
        <v>41</v>
      </c>
      <c r="B54" s="206"/>
      <c r="C54" s="207"/>
      <c r="D54" s="208"/>
      <c r="E54" s="105"/>
      <c r="F54" s="105"/>
      <c r="G54" s="105"/>
      <c r="H54" s="105"/>
      <c r="I54" s="175"/>
      <c r="J54" s="105"/>
      <c r="K54" s="106"/>
      <c r="L54" s="107">
        <f>IFERROR(INDEX('Appendix B'!$C$5:$C$42,MATCH('Section 4. Goods and Services'!J54,'Appendix B'!$B$5:$B$42,0)),0)</f>
        <v>0</v>
      </c>
      <c r="M54" s="107">
        <f>IF(K54&lt;=0,L54,K54)</f>
        <v>0</v>
      </c>
      <c r="N54" s="108">
        <v>0</v>
      </c>
      <c r="O54" s="109">
        <f>N54*M54</f>
        <v>0</v>
      </c>
      <c r="P54" s="41" t="str">
        <f>IF(O54&gt;1%*'Section 2. Evaluation'!$C$17,"To be confirmed","")</f>
        <v/>
      </c>
      <c r="Q54" s="92"/>
      <c r="R54" s="92"/>
      <c r="S54" s="92"/>
      <c r="T54" s="92"/>
      <c r="U54" s="92"/>
      <c r="V54" s="92"/>
      <c r="W54" s="92"/>
      <c r="X54" s="92"/>
      <c r="Y54" s="92"/>
      <c r="Z54" s="92"/>
      <c r="AA54" s="92"/>
      <c r="AB54" s="92"/>
      <c r="AC54" s="92"/>
    </row>
    <row r="55" spans="1:29">
      <c r="A55" s="93">
        <f t="shared" si="2"/>
        <v>42</v>
      </c>
      <c r="B55" s="178"/>
      <c r="C55" s="179"/>
      <c r="D55" s="180"/>
      <c r="E55" s="94"/>
      <c r="F55" s="94"/>
      <c r="G55" s="94"/>
      <c r="H55" s="94"/>
      <c r="I55" s="173"/>
      <c r="J55" s="94"/>
      <c r="K55" s="98"/>
      <c r="L55" s="96">
        <f>IFERROR(INDEX('Appendix B'!$C$5:$C$42,MATCH('Section 4. Goods and Services'!J55,'Appendix B'!$B$5:$B$42,0)),0)</f>
        <v>0</v>
      </c>
      <c r="M55" s="96">
        <f t="shared" ref="M55:M93" si="3">IF(K55&lt;=0,L55,K55)</f>
        <v>0</v>
      </c>
      <c r="N55" s="5">
        <v>0</v>
      </c>
      <c r="O55" s="97">
        <f t="shared" ref="O55:O93" si="4">N55*M55</f>
        <v>0</v>
      </c>
      <c r="P55" s="41" t="str">
        <f>IF(O55&gt;1%*'Section 2. Evaluation'!$C$17,"To be confirmed","")</f>
        <v/>
      </c>
      <c r="Q55" s="92"/>
      <c r="R55" s="92"/>
      <c r="S55" s="92"/>
      <c r="T55" s="92"/>
      <c r="U55" s="92"/>
      <c r="V55" s="92"/>
      <c r="W55" s="92"/>
      <c r="X55" s="92"/>
      <c r="Y55" s="92"/>
      <c r="Z55" s="92"/>
      <c r="AA55" s="92"/>
      <c r="AB55" s="92"/>
      <c r="AC55" s="92"/>
    </row>
    <row r="56" spans="1:29">
      <c r="A56" s="93">
        <f t="shared" si="2"/>
        <v>43</v>
      </c>
      <c r="B56" s="178"/>
      <c r="C56" s="179"/>
      <c r="D56" s="180"/>
      <c r="E56" s="94"/>
      <c r="F56" s="94"/>
      <c r="G56" s="94"/>
      <c r="H56" s="94"/>
      <c r="I56" s="173"/>
      <c r="J56" s="94"/>
      <c r="K56" s="98"/>
      <c r="L56" s="96">
        <f>IFERROR(INDEX('Appendix B'!$C$5:$C$42,MATCH('Section 4. Goods and Services'!J56,'Appendix B'!$B$5:$B$42,0)),0)</f>
        <v>0</v>
      </c>
      <c r="M56" s="96">
        <f t="shared" si="3"/>
        <v>0</v>
      </c>
      <c r="N56" s="5">
        <v>0</v>
      </c>
      <c r="O56" s="97">
        <f t="shared" si="4"/>
        <v>0</v>
      </c>
      <c r="P56" s="41" t="str">
        <f>IF(O56&gt;1%*'Section 2. Evaluation'!$C$17,"To be confirmed","")</f>
        <v/>
      </c>
      <c r="Q56" s="92"/>
      <c r="R56" s="92"/>
      <c r="S56" s="92"/>
      <c r="T56" s="92"/>
      <c r="U56" s="92"/>
      <c r="V56" s="92"/>
      <c r="W56" s="92"/>
      <c r="X56" s="92"/>
      <c r="Y56" s="92"/>
      <c r="Z56" s="92"/>
      <c r="AA56" s="92"/>
      <c r="AB56" s="92"/>
      <c r="AC56" s="92"/>
    </row>
    <row r="57" spans="1:29">
      <c r="A57" s="93">
        <f t="shared" si="2"/>
        <v>44</v>
      </c>
      <c r="B57" s="178"/>
      <c r="C57" s="179"/>
      <c r="D57" s="180"/>
      <c r="E57" s="94"/>
      <c r="F57" s="94"/>
      <c r="G57" s="94"/>
      <c r="H57" s="94"/>
      <c r="I57" s="173"/>
      <c r="J57" s="94"/>
      <c r="K57" s="98"/>
      <c r="L57" s="96">
        <f>IFERROR(INDEX('Appendix B'!$C$5:$C$42,MATCH('Section 4. Goods and Services'!J57,'Appendix B'!$B$5:$B$42,0)),0)</f>
        <v>0</v>
      </c>
      <c r="M57" s="96">
        <f t="shared" si="3"/>
        <v>0</v>
      </c>
      <c r="N57" s="5">
        <v>0</v>
      </c>
      <c r="O57" s="97">
        <f t="shared" si="4"/>
        <v>0</v>
      </c>
      <c r="P57" s="41" t="str">
        <f>IF(O57&gt;1%*'Section 2. Evaluation'!$C$17,"To be confirmed","")</f>
        <v/>
      </c>
      <c r="Q57" s="92"/>
      <c r="R57" s="92"/>
      <c r="S57" s="92"/>
      <c r="T57" s="92"/>
      <c r="U57" s="92"/>
      <c r="V57" s="92"/>
      <c r="W57" s="92"/>
      <c r="X57" s="92"/>
      <c r="Y57" s="92"/>
      <c r="Z57" s="92"/>
      <c r="AA57" s="92"/>
      <c r="AB57" s="92"/>
      <c r="AC57" s="92"/>
    </row>
    <row r="58" spans="1:29">
      <c r="A58" s="93">
        <f t="shared" si="2"/>
        <v>45</v>
      </c>
      <c r="B58" s="178"/>
      <c r="C58" s="179"/>
      <c r="D58" s="180"/>
      <c r="E58" s="94"/>
      <c r="F58" s="94"/>
      <c r="G58" s="94"/>
      <c r="H58" s="94"/>
      <c r="I58" s="173"/>
      <c r="J58" s="94"/>
      <c r="K58" s="98"/>
      <c r="L58" s="96">
        <f>IFERROR(INDEX('Appendix B'!$C$5:$C$42,MATCH('Section 4. Goods and Services'!J58,'Appendix B'!$B$5:$B$42,0)),0)</f>
        <v>0</v>
      </c>
      <c r="M58" s="96">
        <f t="shared" si="3"/>
        <v>0</v>
      </c>
      <c r="N58" s="5">
        <v>0</v>
      </c>
      <c r="O58" s="97">
        <f t="shared" si="4"/>
        <v>0</v>
      </c>
      <c r="P58" s="41" t="str">
        <f>IF(O58&gt;1%*'Section 2. Evaluation'!$C$17,"To be confirmed","")</f>
        <v/>
      </c>
      <c r="Q58" s="92"/>
      <c r="R58" s="92"/>
      <c r="S58" s="92"/>
      <c r="T58" s="92"/>
      <c r="U58" s="92"/>
      <c r="V58" s="92"/>
      <c r="W58" s="92"/>
      <c r="X58" s="92"/>
      <c r="Y58" s="92"/>
      <c r="Z58" s="92"/>
      <c r="AA58" s="92"/>
      <c r="AB58" s="92"/>
      <c r="AC58" s="92"/>
    </row>
    <row r="59" spans="1:29">
      <c r="A59" s="93">
        <f t="shared" si="2"/>
        <v>46</v>
      </c>
      <c r="B59" s="178"/>
      <c r="C59" s="179"/>
      <c r="D59" s="180"/>
      <c r="E59" s="94"/>
      <c r="F59" s="94"/>
      <c r="G59" s="94"/>
      <c r="H59" s="94"/>
      <c r="I59" s="173"/>
      <c r="J59" s="94"/>
      <c r="K59" s="98"/>
      <c r="L59" s="96">
        <f>IFERROR(INDEX('Appendix B'!$C$5:$C$42,MATCH('Section 4. Goods and Services'!J59,'Appendix B'!$B$5:$B$42,0)),0)</f>
        <v>0</v>
      </c>
      <c r="M59" s="96">
        <f t="shared" si="3"/>
        <v>0</v>
      </c>
      <c r="N59" s="5">
        <v>0</v>
      </c>
      <c r="O59" s="97">
        <f t="shared" si="4"/>
        <v>0</v>
      </c>
      <c r="P59" s="41" t="str">
        <f>IF(O59&gt;1%*'Section 2. Evaluation'!$C$17,"To be confirmed","")</f>
        <v/>
      </c>
      <c r="Q59" s="92"/>
      <c r="R59" s="92"/>
      <c r="S59" s="92"/>
      <c r="T59" s="92"/>
      <c r="U59" s="92"/>
      <c r="V59" s="92"/>
      <c r="W59" s="92"/>
      <c r="X59" s="92"/>
      <c r="Y59" s="92"/>
      <c r="Z59" s="92"/>
      <c r="AA59" s="92"/>
      <c r="AB59" s="92"/>
      <c r="AC59" s="92"/>
    </row>
    <row r="60" spans="1:29">
      <c r="A60" s="93">
        <f t="shared" si="2"/>
        <v>47</v>
      </c>
      <c r="B60" s="178"/>
      <c r="C60" s="179"/>
      <c r="D60" s="180"/>
      <c r="E60" s="94"/>
      <c r="F60" s="94"/>
      <c r="G60" s="94"/>
      <c r="H60" s="94"/>
      <c r="I60" s="173"/>
      <c r="J60" s="94"/>
      <c r="K60" s="98"/>
      <c r="L60" s="96">
        <f>IFERROR(INDEX('Appendix B'!$C$5:$C$42,MATCH('Section 4. Goods and Services'!J60,'Appendix B'!$B$5:$B$42,0)),0)</f>
        <v>0</v>
      </c>
      <c r="M60" s="96">
        <f t="shared" si="3"/>
        <v>0</v>
      </c>
      <c r="N60" s="5">
        <v>0</v>
      </c>
      <c r="O60" s="97">
        <f t="shared" si="4"/>
        <v>0</v>
      </c>
      <c r="P60" s="41" t="str">
        <f>IF(O60&gt;1%*'Section 2. Evaluation'!$C$17,"To be confirmed","")</f>
        <v/>
      </c>
      <c r="Q60" s="92"/>
      <c r="R60" s="92"/>
      <c r="S60" s="92"/>
      <c r="T60" s="92"/>
      <c r="U60" s="92"/>
      <c r="V60" s="92"/>
      <c r="W60" s="92"/>
      <c r="X60" s="92"/>
      <c r="Y60" s="92"/>
      <c r="Z60" s="92"/>
      <c r="AA60" s="92"/>
      <c r="AB60" s="92"/>
      <c r="AC60" s="92"/>
    </row>
    <row r="61" spans="1:29">
      <c r="A61" s="93">
        <f t="shared" si="2"/>
        <v>48</v>
      </c>
      <c r="B61" s="178"/>
      <c r="C61" s="179"/>
      <c r="D61" s="180"/>
      <c r="E61" s="94"/>
      <c r="F61" s="94"/>
      <c r="G61" s="94"/>
      <c r="H61" s="94"/>
      <c r="I61" s="173"/>
      <c r="J61" s="94"/>
      <c r="K61" s="98"/>
      <c r="L61" s="96">
        <f>IFERROR(INDEX('Appendix B'!$C$5:$C$42,MATCH('Section 4. Goods and Services'!J61,'Appendix B'!$B$5:$B$42,0)),0)</f>
        <v>0</v>
      </c>
      <c r="M61" s="96">
        <f t="shared" si="3"/>
        <v>0</v>
      </c>
      <c r="N61" s="5">
        <v>0</v>
      </c>
      <c r="O61" s="97">
        <f t="shared" si="4"/>
        <v>0</v>
      </c>
      <c r="P61" s="41" t="str">
        <f>IF(O61&gt;1%*'Section 2. Evaluation'!$C$17,"To be confirmed","")</f>
        <v/>
      </c>
      <c r="Q61" s="92"/>
      <c r="R61" s="92"/>
      <c r="S61" s="92"/>
      <c r="T61" s="92"/>
      <c r="U61" s="92"/>
      <c r="V61" s="92"/>
      <c r="W61" s="92"/>
      <c r="X61" s="92"/>
      <c r="Y61" s="92"/>
      <c r="Z61" s="92"/>
      <c r="AA61" s="92"/>
      <c r="AB61" s="92"/>
      <c r="AC61" s="92"/>
    </row>
    <row r="62" spans="1:29">
      <c r="A62" s="93">
        <f t="shared" si="2"/>
        <v>49</v>
      </c>
      <c r="B62" s="178"/>
      <c r="C62" s="179"/>
      <c r="D62" s="180"/>
      <c r="E62" s="94"/>
      <c r="F62" s="94"/>
      <c r="G62" s="94"/>
      <c r="H62" s="94"/>
      <c r="I62" s="173"/>
      <c r="J62" s="94"/>
      <c r="K62" s="98"/>
      <c r="L62" s="96">
        <f>IFERROR(INDEX('Appendix B'!$C$5:$C$42,MATCH('Section 4. Goods and Services'!J62,'Appendix B'!$B$5:$B$42,0)),0)</f>
        <v>0</v>
      </c>
      <c r="M62" s="96">
        <f t="shared" si="3"/>
        <v>0</v>
      </c>
      <c r="N62" s="5">
        <v>0</v>
      </c>
      <c r="O62" s="97">
        <f t="shared" si="4"/>
        <v>0</v>
      </c>
      <c r="P62" s="41" t="str">
        <f>IF(O62&gt;1%*'Section 2. Evaluation'!$C$17,"To be confirmed","")</f>
        <v/>
      </c>
      <c r="Q62" s="92"/>
      <c r="R62" s="92"/>
      <c r="S62" s="92"/>
      <c r="T62" s="92"/>
      <c r="U62" s="92"/>
      <c r="V62" s="92"/>
      <c r="W62" s="92"/>
      <c r="X62" s="92"/>
      <c r="Y62" s="92"/>
      <c r="Z62" s="92"/>
      <c r="AA62" s="92"/>
      <c r="AB62" s="92"/>
      <c r="AC62" s="92"/>
    </row>
    <row r="63" spans="1:29">
      <c r="A63" s="93">
        <f t="shared" si="2"/>
        <v>50</v>
      </c>
      <c r="B63" s="178"/>
      <c r="C63" s="179"/>
      <c r="D63" s="180"/>
      <c r="E63" s="94"/>
      <c r="F63" s="94"/>
      <c r="G63" s="94"/>
      <c r="H63" s="94"/>
      <c r="I63" s="173"/>
      <c r="J63" s="94"/>
      <c r="K63" s="98"/>
      <c r="L63" s="96">
        <f>IFERROR(INDEX('Appendix B'!$C$5:$C$42,MATCH('Section 4. Goods and Services'!J63,'Appendix B'!$B$5:$B$42,0)),0)</f>
        <v>0</v>
      </c>
      <c r="M63" s="96">
        <f t="shared" si="3"/>
        <v>0</v>
      </c>
      <c r="N63" s="5">
        <v>0</v>
      </c>
      <c r="O63" s="97">
        <f t="shared" si="4"/>
        <v>0</v>
      </c>
      <c r="P63" s="41" t="str">
        <f>IF(O63&gt;1%*'Section 2. Evaluation'!$C$17,"To be confirmed","")</f>
        <v/>
      </c>
      <c r="Q63" s="92"/>
      <c r="R63" s="92"/>
      <c r="S63" s="92"/>
      <c r="T63" s="92"/>
      <c r="U63" s="92"/>
      <c r="V63" s="92"/>
      <c r="W63" s="92"/>
      <c r="X63" s="92"/>
      <c r="Y63" s="92"/>
      <c r="Z63" s="92"/>
      <c r="AA63" s="92"/>
      <c r="AB63" s="92"/>
      <c r="AC63" s="92"/>
    </row>
    <row r="64" spans="1:29">
      <c r="A64" s="93">
        <f t="shared" si="2"/>
        <v>51</v>
      </c>
      <c r="B64" s="178"/>
      <c r="C64" s="179"/>
      <c r="D64" s="180"/>
      <c r="E64" s="94"/>
      <c r="F64" s="94"/>
      <c r="G64" s="94"/>
      <c r="H64" s="94"/>
      <c r="I64" s="173"/>
      <c r="J64" s="94"/>
      <c r="K64" s="98"/>
      <c r="L64" s="96">
        <f>IFERROR(INDEX('Appendix B'!$C$5:$C$42,MATCH('Section 4. Goods and Services'!J64,'Appendix B'!$B$5:$B$42,0)),0)</f>
        <v>0</v>
      </c>
      <c r="M64" s="96">
        <f t="shared" si="3"/>
        <v>0</v>
      </c>
      <c r="N64" s="5">
        <v>0</v>
      </c>
      <c r="O64" s="97">
        <f t="shared" si="4"/>
        <v>0</v>
      </c>
      <c r="P64" s="41" t="str">
        <f>IF(O64&gt;1%*'Section 2. Evaluation'!$C$17,"To be confirmed","")</f>
        <v/>
      </c>
      <c r="Q64" s="92"/>
      <c r="R64" s="92"/>
      <c r="S64" s="92"/>
      <c r="T64" s="92"/>
      <c r="U64" s="92"/>
      <c r="V64" s="92"/>
      <c r="W64" s="92"/>
      <c r="X64" s="92"/>
      <c r="Y64" s="92"/>
      <c r="Z64" s="92"/>
      <c r="AA64" s="92"/>
      <c r="AB64" s="92"/>
      <c r="AC64" s="92"/>
    </row>
    <row r="65" spans="1:29">
      <c r="A65" s="93">
        <f t="shared" si="2"/>
        <v>52</v>
      </c>
      <c r="B65" s="178"/>
      <c r="C65" s="179"/>
      <c r="D65" s="180"/>
      <c r="E65" s="94"/>
      <c r="F65" s="94"/>
      <c r="G65" s="94"/>
      <c r="H65" s="94"/>
      <c r="I65" s="173"/>
      <c r="J65" s="94"/>
      <c r="K65" s="98"/>
      <c r="L65" s="96">
        <f>IFERROR(INDEX('Appendix B'!$C$5:$C$42,MATCH('Section 4. Goods and Services'!J65,'Appendix B'!$B$5:$B$42,0)),0)</f>
        <v>0</v>
      </c>
      <c r="M65" s="96">
        <f t="shared" si="3"/>
        <v>0</v>
      </c>
      <c r="N65" s="5">
        <v>0</v>
      </c>
      <c r="O65" s="97">
        <f t="shared" si="4"/>
        <v>0</v>
      </c>
      <c r="P65" s="41" t="str">
        <f>IF(O65&gt;1%*'Section 2. Evaluation'!$C$17,"To be confirmed","")</f>
        <v/>
      </c>
      <c r="Q65" s="92"/>
      <c r="R65" s="92"/>
      <c r="S65" s="92"/>
      <c r="T65" s="92"/>
      <c r="U65" s="92"/>
      <c r="V65" s="92"/>
      <c r="W65" s="92"/>
      <c r="X65" s="92"/>
      <c r="Y65" s="92"/>
      <c r="Z65" s="92"/>
      <c r="AA65" s="92"/>
      <c r="AB65" s="92"/>
      <c r="AC65" s="92"/>
    </row>
    <row r="66" spans="1:29">
      <c r="A66" s="93">
        <f t="shared" si="2"/>
        <v>53</v>
      </c>
      <c r="B66" s="178"/>
      <c r="C66" s="179"/>
      <c r="D66" s="180"/>
      <c r="E66" s="94"/>
      <c r="F66" s="94"/>
      <c r="G66" s="94"/>
      <c r="H66" s="94"/>
      <c r="I66" s="173"/>
      <c r="J66" s="94"/>
      <c r="K66" s="98"/>
      <c r="L66" s="96">
        <f>IFERROR(INDEX('Appendix B'!$C$5:$C$42,MATCH('Section 4. Goods and Services'!J66,'Appendix B'!$B$5:$B$42,0)),0)</f>
        <v>0</v>
      </c>
      <c r="M66" s="96">
        <f t="shared" si="3"/>
        <v>0</v>
      </c>
      <c r="N66" s="5">
        <v>0</v>
      </c>
      <c r="O66" s="97">
        <f t="shared" si="4"/>
        <v>0</v>
      </c>
      <c r="P66" s="41" t="str">
        <f>IF(O66&gt;1%*'Section 2. Evaluation'!$C$17,"To be confirmed","")</f>
        <v/>
      </c>
      <c r="Q66" s="92"/>
      <c r="R66" s="92"/>
      <c r="S66" s="92"/>
      <c r="T66" s="92"/>
      <c r="U66" s="92"/>
      <c r="V66" s="92"/>
      <c r="W66" s="92"/>
      <c r="X66" s="92"/>
      <c r="Y66" s="92"/>
      <c r="Z66" s="92"/>
      <c r="AA66" s="92"/>
      <c r="AB66" s="92"/>
      <c r="AC66" s="92"/>
    </row>
    <row r="67" spans="1:29">
      <c r="A67" s="93">
        <f t="shared" si="2"/>
        <v>54</v>
      </c>
      <c r="B67" s="178"/>
      <c r="C67" s="179"/>
      <c r="D67" s="180"/>
      <c r="E67" s="94"/>
      <c r="F67" s="94"/>
      <c r="G67" s="94"/>
      <c r="H67" s="94"/>
      <c r="I67" s="173"/>
      <c r="J67" s="94"/>
      <c r="K67" s="98"/>
      <c r="L67" s="96">
        <f>IFERROR(INDEX('Appendix B'!$C$5:$C$42,MATCH('Section 4. Goods and Services'!J67,'Appendix B'!$B$5:$B$42,0)),0)</f>
        <v>0</v>
      </c>
      <c r="M67" s="96">
        <f t="shared" si="3"/>
        <v>0</v>
      </c>
      <c r="N67" s="5">
        <v>0</v>
      </c>
      <c r="O67" s="97">
        <f t="shared" si="4"/>
        <v>0</v>
      </c>
      <c r="P67" s="41" t="str">
        <f>IF(O67&gt;1%*'Section 2. Evaluation'!$C$17,"To be confirmed","")</f>
        <v/>
      </c>
      <c r="Q67" s="92"/>
      <c r="R67" s="92"/>
      <c r="S67" s="92"/>
      <c r="T67" s="92"/>
      <c r="U67" s="92"/>
      <c r="V67" s="92"/>
      <c r="W67" s="92"/>
      <c r="X67" s="92"/>
      <c r="Y67" s="92"/>
      <c r="Z67" s="92"/>
      <c r="AA67" s="92"/>
      <c r="AB67" s="92"/>
      <c r="AC67" s="92"/>
    </row>
    <row r="68" spans="1:29">
      <c r="A68" s="93">
        <f t="shared" si="2"/>
        <v>55</v>
      </c>
      <c r="B68" s="178"/>
      <c r="C68" s="179"/>
      <c r="D68" s="180"/>
      <c r="E68" s="94"/>
      <c r="F68" s="94"/>
      <c r="G68" s="94"/>
      <c r="H68" s="94"/>
      <c r="I68" s="173"/>
      <c r="J68" s="94"/>
      <c r="K68" s="98"/>
      <c r="L68" s="96">
        <f>IFERROR(INDEX('Appendix B'!$C$5:$C$42,MATCH('Section 4. Goods and Services'!J68,'Appendix B'!$B$5:$B$42,0)),0)</f>
        <v>0</v>
      </c>
      <c r="M68" s="96">
        <f t="shared" si="3"/>
        <v>0</v>
      </c>
      <c r="N68" s="5">
        <v>0</v>
      </c>
      <c r="O68" s="97">
        <f t="shared" si="4"/>
        <v>0</v>
      </c>
      <c r="P68" s="41" t="str">
        <f>IF(O68&gt;1%*'Section 2. Evaluation'!$C$17,"To be confirmed","")</f>
        <v/>
      </c>
      <c r="Q68" s="92"/>
      <c r="R68" s="92"/>
      <c r="S68" s="92"/>
      <c r="T68" s="92"/>
      <c r="U68" s="92"/>
      <c r="V68" s="92"/>
      <c r="W68" s="92"/>
      <c r="X68" s="92"/>
      <c r="Y68" s="92"/>
      <c r="Z68" s="92"/>
      <c r="AA68" s="92"/>
      <c r="AB68" s="92"/>
      <c r="AC68" s="92"/>
    </row>
    <row r="69" spans="1:29">
      <c r="A69" s="93">
        <f t="shared" si="2"/>
        <v>56</v>
      </c>
      <c r="B69" s="178"/>
      <c r="C69" s="179"/>
      <c r="D69" s="180"/>
      <c r="E69" s="94"/>
      <c r="F69" s="94"/>
      <c r="G69" s="94"/>
      <c r="H69" s="94"/>
      <c r="I69" s="173"/>
      <c r="J69" s="94"/>
      <c r="K69" s="98"/>
      <c r="L69" s="96">
        <f>IFERROR(INDEX('Appendix B'!$C$5:$C$42,MATCH('Section 4. Goods and Services'!J69,'Appendix B'!$B$5:$B$42,0)),0)</f>
        <v>0</v>
      </c>
      <c r="M69" s="96">
        <f t="shared" si="3"/>
        <v>0</v>
      </c>
      <c r="N69" s="5">
        <v>0</v>
      </c>
      <c r="O69" s="97">
        <f t="shared" si="4"/>
        <v>0</v>
      </c>
      <c r="P69" s="41" t="str">
        <f>IF(O69&gt;1%*'Section 2. Evaluation'!$C$17,"To be confirmed","")</f>
        <v/>
      </c>
      <c r="Q69" s="92"/>
      <c r="R69" s="92"/>
      <c r="S69" s="92"/>
      <c r="T69" s="92"/>
      <c r="U69" s="92"/>
      <c r="V69" s="92"/>
      <c r="W69" s="92"/>
      <c r="X69" s="92"/>
      <c r="Y69" s="92"/>
      <c r="Z69" s="92"/>
      <c r="AA69" s="92"/>
      <c r="AB69" s="92"/>
      <c r="AC69" s="92"/>
    </row>
    <row r="70" spans="1:29">
      <c r="A70" s="93">
        <f t="shared" si="2"/>
        <v>57</v>
      </c>
      <c r="B70" s="178"/>
      <c r="C70" s="179"/>
      <c r="D70" s="180"/>
      <c r="E70" s="94"/>
      <c r="F70" s="94"/>
      <c r="G70" s="94"/>
      <c r="H70" s="94"/>
      <c r="I70" s="173"/>
      <c r="J70" s="94"/>
      <c r="K70" s="98"/>
      <c r="L70" s="96">
        <f>IFERROR(INDEX('Appendix B'!$C$5:$C$42,MATCH('Section 4. Goods and Services'!J70,'Appendix B'!$B$5:$B$42,0)),0)</f>
        <v>0</v>
      </c>
      <c r="M70" s="96">
        <f t="shared" si="3"/>
        <v>0</v>
      </c>
      <c r="N70" s="5">
        <v>0</v>
      </c>
      <c r="O70" s="97">
        <f t="shared" si="4"/>
        <v>0</v>
      </c>
      <c r="P70" s="41" t="str">
        <f>IF(O70&gt;1%*'Section 2. Evaluation'!$C$17,"To be confirmed","")</f>
        <v/>
      </c>
      <c r="Q70" s="92"/>
      <c r="R70" s="92"/>
      <c r="S70" s="92"/>
      <c r="T70" s="92"/>
      <c r="U70" s="92"/>
      <c r="V70" s="92"/>
      <c r="W70" s="92"/>
      <c r="X70" s="92"/>
      <c r="Y70" s="92"/>
      <c r="Z70" s="92"/>
      <c r="AA70" s="92"/>
      <c r="AB70" s="92"/>
      <c r="AC70" s="92"/>
    </row>
    <row r="71" spans="1:29">
      <c r="A71" s="93">
        <f t="shared" si="2"/>
        <v>58</v>
      </c>
      <c r="B71" s="178"/>
      <c r="C71" s="179"/>
      <c r="D71" s="180"/>
      <c r="E71" s="94"/>
      <c r="F71" s="94"/>
      <c r="G71" s="94"/>
      <c r="H71" s="94"/>
      <c r="I71" s="173"/>
      <c r="J71" s="94"/>
      <c r="K71" s="98"/>
      <c r="L71" s="96">
        <f>IFERROR(INDEX('Appendix B'!$C$5:$C$42,MATCH('Section 4. Goods and Services'!J71,'Appendix B'!$B$5:$B$42,0)),0)</f>
        <v>0</v>
      </c>
      <c r="M71" s="96">
        <f t="shared" si="3"/>
        <v>0</v>
      </c>
      <c r="N71" s="5">
        <v>0</v>
      </c>
      <c r="O71" s="97">
        <f t="shared" si="4"/>
        <v>0</v>
      </c>
      <c r="P71" s="41" t="str">
        <f>IF(O71&gt;1%*'Section 2. Evaluation'!$C$17,"To be confirmed","")</f>
        <v/>
      </c>
      <c r="Q71" s="92"/>
      <c r="R71" s="92"/>
      <c r="S71" s="92"/>
      <c r="T71" s="92"/>
      <c r="U71" s="92"/>
      <c r="V71" s="92"/>
      <c r="W71" s="92"/>
      <c r="X71" s="92"/>
      <c r="Y71" s="92"/>
      <c r="Z71" s="92"/>
      <c r="AA71" s="92"/>
      <c r="AB71" s="92"/>
      <c r="AC71" s="92"/>
    </row>
    <row r="72" spans="1:29">
      <c r="A72" s="93">
        <f t="shared" si="2"/>
        <v>59</v>
      </c>
      <c r="B72" s="178"/>
      <c r="C72" s="179"/>
      <c r="D72" s="180"/>
      <c r="E72" s="94"/>
      <c r="F72" s="94"/>
      <c r="G72" s="94"/>
      <c r="H72" s="94"/>
      <c r="I72" s="173"/>
      <c r="J72" s="94"/>
      <c r="K72" s="98"/>
      <c r="L72" s="96">
        <f>IFERROR(INDEX('Appendix B'!$C$5:$C$42,MATCH('Section 4. Goods and Services'!J72,'Appendix B'!$B$5:$B$42,0)),0)</f>
        <v>0</v>
      </c>
      <c r="M72" s="96">
        <f t="shared" si="3"/>
        <v>0</v>
      </c>
      <c r="N72" s="5">
        <v>0</v>
      </c>
      <c r="O72" s="97">
        <f t="shared" si="4"/>
        <v>0</v>
      </c>
      <c r="P72" s="41" t="str">
        <f>IF(O72&gt;1%*'Section 2. Evaluation'!$C$17,"To be confirmed","")</f>
        <v/>
      </c>
      <c r="Q72" s="92"/>
      <c r="R72" s="92"/>
      <c r="S72" s="92"/>
      <c r="T72" s="92"/>
      <c r="U72" s="92"/>
      <c r="V72" s="92"/>
      <c r="W72" s="92"/>
      <c r="X72" s="92"/>
      <c r="Y72" s="92"/>
      <c r="Z72" s="92"/>
      <c r="AA72" s="92"/>
      <c r="AB72" s="92"/>
      <c r="AC72" s="92"/>
    </row>
    <row r="73" spans="1:29">
      <c r="A73" s="93">
        <f t="shared" si="2"/>
        <v>60</v>
      </c>
      <c r="B73" s="178"/>
      <c r="C73" s="179"/>
      <c r="D73" s="180"/>
      <c r="E73" s="94"/>
      <c r="F73" s="94"/>
      <c r="G73" s="94"/>
      <c r="H73" s="94"/>
      <c r="I73" s="173"/>
      <c r="J73" s="94"/>
      <c r="K73" s="98"/>
      <c r="L73" s="96">
        <f>IFERROR(INDEX('Appendix B'!$C$5:$C$42,MATCH('Section 4. Goods and Services'!J73,'Appendix B'!$B$5:$B$42,0)),0)</f>
        <v>0</v>
      </c>
      <c r="M73" s="96">
        <f t="shared" si="3"/>
        <v>0</v>
      </c>
      <c r="N73" s="5">
        <v>0</v>
      </c>
      <c r="O73" s="97">
        <f t="shared" si="4"/>
        <v>0</v>
      </c>
      <c r="P73" s="41" t="str">
        <f>IF(O73&gt;1%*'Section 2. Evaluation'!$C$17,"To be confirmed","")</f>
        <v/>
      </c>
      <c r="Q73" s="92"/>
      <c r="R73" s="92"/>
      <c r="S73" s="92"/>
      <c r="T73" s="92"/>
      <c r="U73" s="92"/>
      <c r="V73" s="92"/>
      <c r="W73" s="92"/>
      <c r="X73" s="92"/>
      <c r="Y73" s="92"/>
      <c r="Z73" s="92"/>
      <c r="AA73" s="92"/>
      <c r="AB73" s="92"/>
      <c r="AC73" s="92"/>
    </row>
    <row r="74" spans="1:29">
      <c r="A74" s="93">
        <f t="shared" si="2"/>
        <v>61</v>
      </c>
      <c r="B74" s="178"/>
      <c r="C74" s="179"/>
      <c r="D74" s="180"/>
      <c r="E74" s="94"/>
      <c r="F74" s="94"/>
      <c r="G74" s="94"/>
      <c r="H74" s="94"/>
      <c r="I74" s="173"/>
      <c r="J74" s="94"/>
      <c r="K74" s="98"/>
      <c r="L74" s="96">
        <f>IFERROR(INDEX('Appendix B'!$C$5:$C$42,MATCH('Section 4. Goods and Services'!J74,'Appendix B'!$B$5:$B$42,0)),0)</f>
        <v>0</v>
      </c>
      <c r="M74" s="96">
        <f t="shared" si="3"/>
        <v>0</v>
      </c>
      <c r="N74" s="5">
        <v>0</v>
      </c>
      <c r="O74" s="97">
        <f t="shared" si="4"/>
        <v>0</v>
      </c>
      <c r="P74" s="41" t="str">
        <f>IF(O74&gt;1%*'Section 2. Evaluation'!$C$17,"To be confirmed","")</f>
        <v/>
      </c>
      <c r="Q74" s="92"/>
      <c r="R74" s="92"/>
      <c r="S74" s="92"/>
      <c r="T74" s="92"/>
      <c r="U74" s="92"/>
      <c r="V74" s="92"/>
      <c r="W74" s="92"/>
      <c r="X74" s="92"/>
      <c r="Y74" s="92"/>
      <c r="Z74" s="92"/>
      <c r="AA74" s="92"/>
      <c r="AB74" s="92"/>
      <c r="AC74" s="92"/>
    </row>
    <row r="75" spans="1:29">
      <c r="A75" s="93">
        <f t="shared" si="2"/>
        <v>62</v>
      </c>
      <c r="B75" s="178"/>
      <c r="C75" s="179"/>
      <c r="D75" s="180"/>
      <c r="E75" s="94"/>
      <c r="F75" s="94"/>
      <c r="G75" s="94"/>
      <c r="H75" s="94"/>
      <c r="I75" s="173"/>
      <c r="J75" s="94"/>
      <c r="K75" s="98"/>
      <c r="L75" s="96">
        <f>IFERROR(INDEX('Appendix B'!$C$5:$C$42,MATCH('Section 4. Goods and Services'!J75,'Appendix B'!$B$5:$B$42,0)),0)</f>
        <v>0</v>
      </c>
      <c r="M75" s="96">
        <f t="shared" si="3"/>
        <v>0</v>
      </c>
      <c r="N75" s="5">
        <v>0</v>
      </c>
      <c r="O75" s="97">
        <f t="shared" si="4"/>
        <v>0</v>
      </c>
      <c r="P75" s="41" t="str">
        <f>IF(O75&gt;1%*'Section 2. Evaluation'!$C$17,"To be confirmed","")</f>
        <v/>
      </c>
      <c r="Q75" s="92"/>
      <c r="R75" s="92"/>
      <c r="S75" s="92"/>
      <c r="T75" s="92"/>
      <c r="U75" s="92"/>
      <c r="V75" s="92"/>
      <c r="W75" s="92"/>
      <c r="X75" s="92"/>
      <c r="Y75" s="92"/>
      <c r="Z75" s="92"/>
      <c r="AA75" s="92"/>
      <c r="AB75" s="92"/>
      <c r="AC75" s="92"/>
    </row>
    <row r="76" spans="1:29">
      <c r="A76" s="93">
        <f t="shared" si="2"/>
        <v>63</v>
      </c>
      <c r="B76" s="178"/>
      <c r="C76" s="179"/>
      <c r="D76" s="180"/>
      <c r="E76" s="94"/>
      <c r="F76" s="94"/>
      <c r="G76" s="94"/>
      <c r="H76" s="94"/>
      <c r="I76" s="173"/>
      <c r="J76" s="94"/>
      <c r="K76" s="98"/>
      <c r="L76" s="96">
        <f>IFERROR(INDEX('Appendix B'!$C$5:$C$42,MATCH('Section 4. Goods and Services'!J76,'Appendix B'!$B$5:$B$42,0)),0)</f>
        <v>0</v>
      </c>
      <c r="M76" s="96">
        <f t="shared" si="3"/>
        <v>0</v>
      </c>
      <c r="N76" s="5">
        <v>0</v>
      </c>
      <c r="O76" s="97">
        <f t="shared" si="4"/>
        <v>0</v>
      </c>
      <c r="P76" s="41" t="str">
        <f>IF(O76&gt;1%*'Section 2. Evaluation'!$C$17,"To be confirmed","")</f>
        <v/>
      </c>
      <c r="Q76" s="92"/>
      <c r="R76" s="92"/>
      <c r="S76" s="92"/>
      <c r="T76" s="92"/>
      <c r="U76" s="92"/>
      <c r="V76" s="92"/>
      <c r="W76" s="92"/>
      <c r="X76" s="92"/>
      <c r="Y76" s="92"/>
      <c r="Z76" s="92"/>
      <c r="AA76" s="92"/>
      <c r="AB76" s="92"/>
      <c r="AC76" s="92"/>
    </row>
    <row r="77" spans="1:29">
      <c r="A77" s="93">
        <f t="shared" si="2"/>
        <v>64</v>
      </c>
      <c r="B77" s="178"/>
      <c r="C77" s="179"/>
      <c r="D77" s="180"/>
      <c r="E77" s="94"/>
      <c r="F77" s="94"/>
      <c r="G77" s="94"/>
      <c r="H77" s="94"/>
      <c r="I77" s="173"/>
      <c r="J77" s="94"/>
      <c r="K77" s="98"/>
      <c r="L77" s="96">
        <f>IFERROR(INDEX('Appendix B'!$C$5:$C$42,MATCH('Section 4. Goods and Services'!J77,'Appendix B'!$B$5:$B$42,0)),0)</f>
        <v>0</v>
      </c>
      <c r="M77" s="96">
        <f t="shared" si="3"/>
        <v>0</v>
      </c>
      <c r="N77" s="5">
        <v>0</v>
      </c>
      <c r="O77" s="97">
        <f t="shared" si="4"/>
        <v>0</v>
      </c>
      <c r="P77" s="41" t="str">
        <f>IF(O77&gt;1%*'Section 2. Evaluation'!$C$17,"To be confirmed","")</f>
        <v/>
      </c>
      <c r="Q77" s="92"/>
      <c r="R77" s="92"/>
      <c r="S77" s="92"/>
      <c r="T77" s="92"/>
      <c r="U77" s="92"/>
      <c r="V77" s="92"/>
      <c r="W77" s="92"/>
      <c r="X77" s="92"/>
      <c r="Y77" s="92"/>
      <c r="Z77" s="92"/>
      <c r="AA77" s="92"/>
      <c r="AB77" s="92"/>
      <c r="AC77" s="92"/>
    </row>
    <row r="78" spans="1:29">
      <c r="A78" s="93">
        <f t="shared" si="2"/>
        <v>65</v>
      </c>
      <c r="B78" s="178"/>
      <c r="C78" s="179"/>
      <c r="D78" s="180"/>
      <c r="E78" s="94"/>
      <c r="F78" s="94"/>
      <c r="G78" s="94"/>
      <c r="H78" s="94"/>
      <c r="I78" s="173"/>
      <c r="J78" s="94"/>
      <c r="K78" s="98"/>
      <c r="L78" s="96">
        <f>IFERROR(INDEX('Appendix B'!$C$5:$C$42,MATCH('Section 4. Goods and Services'!J78,'Appendix B'!$B$5:$B$42,0)),0)</f>
        <v>0</v>
      </c>
      <c r="M78" s="96">
        <f t="shared" si="3"/>
        <v>0</v>
      </c>
      <c r="N78" s="5">
        <v>0</v>
      </c>
      <c r="O78" s="97">
        <f t="shared" si="4"/>
        <v>0</v>
      </c>
      <c r="P78" s="41" t="str">
        <f>IF(O78&gt;1%*'Section 2. Evaluation'!$C$17,"To be confirmed","")</f>
        <v/>
      </c>
      <c r="Q78" s="92"/>
      <c r="R78" s="92"/>
      <c r="S78" s="92"/>
      <c r="T78" s="92"/>
      <c r="U78" s="92"/>
      <c r="V78" s="92"/>
      <c r="W78" s="92"/>
      <c r="X78" s="92"/>
      <c r="Y78" s="92"/>
      <c r="Z78" s="92"/>
      <c r="AA78" s="92"/>
      <c r="AB78" s="92"/>
      <c r="AC78" s="92"/>
    </row>
    <row r="79" spans="1:29">
      <c r="A79" s="93">
        <f t="shared" si="2"/>
        <v>66</v>
      </c>
      <c r="B79" s="178"/>
      <c r="C79" s="179"/>
      <c r="D79" s="180"/>
      <c r="E79" s="94"/>
      <c r="F79" s="94"/>
      <c r="G79" s="94"/>
      <c r="H79" s="94"/>
      <c r="I79" s="173"/>
      <c r="J79" s="94"/>
      <c r="K79" s="98"/>
      <c r="L79" s="96">
        <f>IFERROR(INDEX('Appendix B'!$C$5:$C$42,MATCH('Section 4. Goods and Services'!J79,'Appendix B'!$B$5:$B$42,0)),0)</f>
        <v>0</v>
      </c>
      <c r="M79" s="96">
        <f t="shared" si="3"/>
        <v>0</v>
      </c>
      <c r="N79" s="5">
        <v>0</v>
      </c>
      <c r="O79" s="97">
        <f t="shared" si="4"/>
        <v>0</v>
      </c>
      <c r="P79" s="41" t="str">
        <f>IF(O79&gt;1%*'Section 2. Evaluation'!$C$17,"To be confirmed","")</f>
        <v/>
      </c>
      <c r="Q79" s="92"/>
      <c r="R79" s="92"/>
      <c r="S79" s="92"/>
      <c r="T79" s="92"/>
      <c r="U79" s="92"/>
      <c r="V79" s="92"/>
      <c r="W79" s="92"/>
      <c r="X79" s="92"/>
      <c r="Y79" s="92"/>
      <c r="Z79" s="92"/>
      <c r="AA79" s="92"/>
      <c r="AB79" s="92"/>
      <c r="AC79" s="92"/>
    </row>
    <row r="80" spans="1:29">
      <c r="A80" s="93">
        <f t="shared" si="2"/>
        <v>67</v>
      </c>
      <c r="B80" s="178"/>
      <c r="C80" s="179"/>
      <c r="D80" s="180"/>
      <c r="E80" s="94"/>
      <c r="F80" s="94"/>
      <c r="G80" s="94"/>
      <c r="H80" s="94"/>
      <c r="I80" s="173"/>
      <c r="J80" s="94"/>
      <c r="K80" s="98"/>
      <c r="L80" s="96">
        <f>IFERROR(INDEX('Appendix B'!$C$5:$C$42,MATCH('Section 4. Goods and Services'!J80,'Appendix B'!$B$5:$B$42,0)),0)</f>
        <v>0</v>
      </c>
      <c r="M80" s="96">
        <f t="shared" si="3"/>
        <v>0</v>
      </c>
      <c r="N80" s="5">
        <v>0</v>
      </c>
      <c r="O80" s="97">
        <f t="shared" si="4"/>
        <v>0</v>
      </c>
      <c r="P80" s="41" t="str">
        <f>IF(O80&gt;1%*'Section 2. Evaluation'!$C$17,"To be confirmed","")</f>
        <v/>
      </c>
      <c r="Q80" s="92"/>
      <c r="R80" s="92"/>
      <c r="S80" s="92"/>
      <c r="T80" s="92"/>
      <c r="U80" s="92"/>
      <c r="V80" s="92"/>
      <c r="W80" s="92"/>
      <c r="X80" s="92"/>
      <c r="Y80" s="92"/>
      <c r="Z80" s="92"/>
      <c r="AA80" s="92"/>
      <c r="AB80" s="92"/>
      <c r="AC80" s="92"/>
    </row>
    <row r="81" spans="1:29">
      <c r="A81" s="93">
        <f t="shared" ref="A81:A93" si="5">A80+1</f>
        <v>68</v>
      </c>
      <c r="B81" s="178"/>
      <c r="C81" s="179"/>
      <c r="D81" s="180"/>
      <c r="E81" s="94"/>
      <c r="F81" s="94"/>
      <c r="G81" s="94"/>
      <c r="H81" s="94"/>
      <c r="I81" s="173"/>
      <c r="J81" s="94"/>
      <c r="K81" s="98"/>
      <c r="L81" s="96">
        <f>IFERROR(INDEX('Appendix B'!$C$5:$C$42,MATCH('Section 4. Goods and Services'!J81,'Appendix B'!$B$5:$B$42,0)),0)</f>
        <v>0</v>
      </c>
      <c r="M81" s="96">
        <f t="shared" si="3"/>
        <v>0</v>
      </c>
      <c r="N81" s="5">
        <v>0</v>
      </c>
      <c r="O81" s="97">
        <f t="shared" si="4"/>
        <v>0</v>
      </c>
      <c r="P81" s="41" t="str">
        <f>IF(O81&gt;1%*'Section 2. Evaluation'!$C$17,"To be confirmed","")</f>
        <v/>
      </c>
      <c r="Q81" s="92"/>
      <c r="R81" s="92"/>
      <c r="S81" s="92"/>
      <c r="T81" s="92"/>
      <c r="U81" s="92"/>
      <c r="V81" s="92"/>
      <c r="W81" s="92"/>
      <c r="X81" s="92"/>
      <c r="Y81" s="92"/>
      <c r="Z81" s="92"/>
      <c r="AA81" s="92"/>
      <c r="AB81" s="92"/>
      <c r="AC81" s="92"/>
    </row>
    <row r="82" spans="1:29">
      <c r="A82" s="93">
        <f t="shared" si="5"/>
        <v>69</v>
      </c>
      <c r="B82" s="178"/>
      <c r="C82" s="179"/>
      <c r="D82" s="180"/>
      <c r="E82" s="94"/>
      <c r="F82" s="94"/>
      <c r="G82" s="94"/>
      <c r="H82" s="94"/>
      <c r="I82" s="173"/>
      <c r="J82" s="94"/>
      <c r="K82" s="98"/>
      <c r="L82" s="96">
        <f>IFERROR(INDEX('Appendix B'!$C$5:$C$42,MATCH('Section 4. Goods and Services'!J82,'Appendix B'!$B$5:$B$42,0)),0)</f>
        <v>0</v>
      </c>
      <c r="M82" s="96">
        <f t="shared" si="3"/>
        <v>0</v>
      </c>
      <c r="N82" s="5">
        <v>0</v>
      </c>
      <c r="O82" s="97">
        <f t="shared" si="4"/>
        <v>0</v>
      </c>
      <c r="P82" s="41" t="str">
        <f>IF(O82&gt;1%*'Section 2. Evaluation'!$C$17,"To be confirmed","")</f>
        <v/>
      </c>
      <c r="Q82" s="92"/>
      <c r="R82" s="92"/>
      <c r="S82" s="92"/>
      <c r="T82" s="92"/>
      <c r="U82" s="92"/>
      <c r="V82" s="92"/>
      <c r="W82" s="92"/>
      <c r="X82" s="92"/>
      <c r="Y82" s="92"/>
      <c r="Z82" s="92"/>
      <c r="AA82" s="92"/>
      <c r="AB82" s="92"/>
      <c r="AC82" s="92"/>
    </row>
    <row r="83" spans="1:29">
      <c r="A83" s="93">
        <f t="shared" si="5"/>
        <v>70</v>
      </c>
      <c r="B83" s="178"/>
      <c r="C83" s="179"/>
      <c r="D83" s="180"/>
      <c r="E83" s="94"/>
      <c r="F83" s="94"/>
      <c r="G83" s="94"/>
      <c r="H83" s="94"/>
      <c r="I83" s="173"/>
      <c r="J83" s="94"/>
      <c r="K83" s="98"/>
      <c r="L83" s="96">
        <f>IFERROR(INDEX('Appendix B'!$C$5:$C$42,MATCH('Section 4. Goods and Services'!J83,'Appendix B'!$B$5:$B$42,0)),0)</f>
        <v>0</v>
      </c>
      <c r="M83" s="96">
        <f t="shared" si="3"/>
        <v>0</v>
      </c>
      <c r="N83" s="5">
        <v>0</v>
      </c>
      <c r="O83" s="97">
        <f t="shared" si="4"/>
        <v>0</v>
      </c>
      <c r="P83" s="41" t="str">
        <f>IF(O83&gt;1%*'Section 2. Evaluation'!$C$17,"To be confirmed","")</f>
        <v/>
      </c>
      <c r="Q83" s="92"/>
      <c r="R83" s="92"/>
      <c r="S83" s="92"/>
      <c r="T83" s="92"/>
      <c r="U83" s="92"/>
      <c r="V83" s="92"/>
      <c r="W83" s="92"/>
      <c r="X83" s="92"/>
      <c r="Y83" s="92"/>
      <c r="Z83" s="92"/>
      <c r="AA83" s="92"/>
      <c r="AB83" s="92"/>
      <c r="AC83" s="92"/>
    </row>
    <row r="84" spans="1:29">
      <c r="A84" s="93">
        <f t="shared" si="5"/>
        <v>71</v>
      </c>
      <c r="B84" s="178"/>
      <c r="C84" s="179"/>
      <c r="D84" s="180"/>
      <c r="E84" s="94"/>
      <c r="F84" s="94"/>
      <c r="G84" s="94"/>
      <c r="H84" s="94"/>
      <c r="I84" s="173"/>
      <c r="J84" s="94"/>
      <c r="K84" s="98"/>
      <c r="L84" s="96">
        <f>IFERROR(INDEX('Appendix B'!$C$5:$C$42,MATCH('Section 4. Goods and Services'!J84,'Appendix B'!$B$5:$B$42,0)),0)</f>
        <v>0</v>
      </c>
      <c r="M84" s="96">
        <f t="shared" si="3"/>
        <v>0</v>
      </c>
      <c r="N84" s="5">
        <v>0</v>
      </c>
      <c r="O84" s="97">
        <f t="shared" si="4"/>
        <v>0</v>
      </c>
      <c r="P84" s="41" t="str">
        <f>IF(O84&gt;1%*'Section 2. Evaluation'!$C$17,"To be confirmed","")</f>
        <v/>
      </c>
      <c r="Q84" s="92"/>
      <c r="R84" s="92"/>
      <c r="S84" s="92"/>
      <c r="T84" s="92"/>
      <c r="U84" s="92"/>
      <c r="V84" s="92"/>
      <c r="W84" s="92"/>
      <c r="X84" s="92"/>
      <c r="Y84" s="92"/>
      <c r="Z84" s="92"/>
      <c r="AA84" s="92"/>
      <c r="AB84" s="92"/>
      <c r="AC84" s="92"/>
    </row>
    <row r="85" spans="1:29">
      <c r="A85" s="93">
        <f t="shared" si="5"/>
        <v>72</v>
      </c>
      <c r="B85" s="178"/>
      <c r="C85" s="179"/>
      <c r="D85" s="180"/>
      <c r="E85" s="94"/>
      <c r="F85" s="94"/>
      <c r="G85" s="94"/>
      <c r="H85" s="94"/>
      <c r="I85" s="173"/>
      <c r="J85" s="94"/>
      <c r="K85" s="98"/>
      <c r="L85" s="96">
        <f>IFERROR(INDEX('Appendix B'!$C$5:$C$42,MATCH('Section 4. Goods and Services'!J85,'Appendix B'!$B$5:$B$42,0)),0)</f>
        <v>0</v>
      </c>
      <c r="M85" s="96">
        <f t="shared" si="3"/>
        <v>0</v>
      </c>
      <c r="N85" s="5">
        <v>0</v>
      </c>
      <c r="O85" s="97">
        <f t="shared" si="4"/>
        <v>0</v>
      </c>
      <c r="P85" s="41" t="str">
        <f>IF(O85&gt;1%*'Section 2. Evaluation'!$C$17,"To be confirmed","")</f>
        <v/>
      </c>
      <c r="Q85" s="92"/>
      <c r="R85" s="92"/>
      <c r="S85" s="92"/>
      <c r="T85" s="92"/>
      <c r="U85" s="92"/>
      <c r="V85" s="92"/>
      <c r="W85" s="92"/>
      <c r="X85" s="92"/>
      <c r="Y85" s="92"/>
      <c r="Z85" s="92"/>
      <c r="AA85" s="92"/>
      <c r="AB85" s="92"/>
      <c r="AC85" s="92"/>
    </row>
    <row r="86" spans="1:29">
      <c r="A86" s="93">
        <f t="shared" si="5"/>
        <v>73</v>
      </c>
      <c r="B86" s="178"/>
      <c r="C86" s="179"/>
      <c r="D86" s="180"/>
      <c r="E86" s="94"/>
      <c r="F86" s="94"/>
      <c r="G86" s="94"/>
      <c r="H86" s="94"/>
      <c r="I86" s="173"/>
      <c r="J86" s="94"/>
      <c r="K86" s="98"/>
      <c r="L86" s="96">
        <f>IFERROR(INDEX('Appendix B'!$C$5:$C$42,MATCH('Section 4. Goods and Services'!J86,'Appendix B'!$B$5:$B$42,0)),0)</f>
        <v>0</v>
      </c>
      <c r="M86" s="96">
        <f t="shared" si="3"/>
        <v>0</v>
      </c>
      <c r="N86" s="5">
        <v>0</v>
      </c>
      <c r="O86" s="97">
        <f t="shared" si="4"/>
        <v>0</v>
      </c>
      <c r="P86" s="41" t="str">
        <f>IF(O86&gt;1%*'Section 2. Evaluation'!$C$17,"To be confirmed","")</f>
        <v/>
      </c>
      <c r="Q86" s="92"/>
      <c r="R86" s="92"/>
      <c r="S86" s="92"/>
      <c r="T86" s="92"/>
      <c r="U86" s="92"/>
      <c r="V86" s="92"/>
      <c r="W86" s="92"/>
      <c r="X86" s="92"/>
      <c r="Y86" s="92"/>
      <c r="Z86" s="92"/>
      <c r="AA86" s="92"/>
      <c r="AB86" s="92"/>
      <c r="AC86" s="92"/>
    </row>
    <row r="87" spans="1:29">
      <c r="A87" s="93">
        <f t="shared" si="5"/>
        <v>74</v>
      </c>
      <c r="B87" s="178"/>
      <c r="C87" s="179"/>
      <c r="D87" s="180"/>
      <c r="E87" s="94"/>
      <c r="F87" s="94"/>
      <c r="G87" s="94"/>
      <c r="H87" s="94"/>
      <c r="I87" s="173"/>
      <c r="J87" s="94"/>
      <c r="K87" s="98"/>
      <c r="L87" s="96">
        <f>IFERROR(INDEX('Appendix B'!$C$5:$C$42,MATCH('Section 4. Goods and Services'!J87,'Appendix B'!$B$5:$B$42,0)),0)</f>
        <v>0</v>
      </c>
      <c r="M87" s="96">
        <f t="shared" si="3"/>
        <v>0</v>
      </c>
      <c r="N87" s="5">
        <v>0</v>
      </c>
      <c r="O87" s="97">
        <f t="shared" si="4"/>
        <v>0</v>
      </c>
      <c r="P87" s="41" t="str">
        <f>IF(O87&gt;1%*'Section 2. Evaluation'!$C$17,"To be confirmed","")</f>
        <v/>
      </c>
      <c r="Q87" s="92"/>
      <c r="R87" s="92"/>
      <c r="S87" s="92"/>
      <c r="T87" s="92"/>
      <c r="U87" s="92"/>
      <c r="V87" s="92"/>
      <c r="W87" s="92"/>
      <c r="X87" s="92"/>
      <c r="Y87" s="92"/>
      <c r="Z87" s="92"/>
      <c r="AA87" s="92"/>
      <c r="AB87" s="92"/>
      <c r="AC87" s="92"/>
    </row>
    <row r="88" spans="1:29">
      <c r="A88" s="93">
        <f t="shared" si="5"/>
        <v>75</v>
      </c>
      <c r="B88" s="178"/>
      <c r="C88" s="179"/>
      <c r="D88" s="180"/>
      <c r="E88" s="94"/>
      <c r="F88" s="94"/>
      <c r="G88" s="94"/>
      <c r="H88" s="94"/>
      <c r="I88" s="173"/>
      <c r="J88" s="94"/>
      <c r="K88" s="98"/>
      <c r="L88" s="96">
        <f>IFERROR(INDEX('Appendix B'!$C$5:$C$42,MATCH('Section 4. Goods and Services'!J88,'Appendix B'!$B$5:$B$42,0)),0)</f>
        <v>0</v>
      </c>
      <c r="M88" s="96">
        <f t="shared" si="3"/>
        <v>0</v>
      </c>
      <c r="N88" s="5">
        <v>0</v>
      </c>
      <c r="O88" s="97">
        <f t="shared" si="4"/>
        <v>0</v>
      </c>
      <c r="P88" s="41" t="str">
        <f>IF(O88&gt;1%*'Section 2. Evaluation'!$C$17,"To be confirmed","")</f>
        <v/>
      </c>
      <c r="Q88" s="92"/>
      <c r="R88" s="92"/>
      <c r="S88" s="92"/>
      <c r="T88" s="92"/>
      <c r="U88" s="92"/>
      <c r="V88" s="92"/>
      <c r="W88" s="92"/>
      <c r="X88" s="92"/>
      <c r="Y88" s="92"/>
      <c r="Z88" s="92"/>
      <c r="AA88" s="92"/>
      <c r="AB88" s="92"/>
      <c r="AC88" s="92"/>
    </row>
    <row r="89" spans="1:29">
      <c r="A89" s="93">
        <f t="shared" si="5"/>
        <v>76</v>
      </c>
      <c r="B89" s="178"/>
      <c r="C89" s="179"/>
      <c r="D89" s="180"/>
      <c r="E89" s="94"/>
      <c r="F89" s="94"/>
      <c r="G89" s="94"/>
      <c r="H89" s="94"/>
      <c r="I89" s="173"/>
      <c r="J89" s="94"/>
      <c r="K89" s="98"/>
      <c r="L89" s="96">
        <f>IFERROR(INDEX('Appendix B'!$C$5:$C$42,MATCH('Section 4. Goods and Services'!J89,'Appendix B'!$B$5:$B$42,0)),0)</f>
        <v>0</v>
      </c>
      <c r="M89" s="96">
        <f t="shared" si="3"/>
        <v>0</v>
      </c>
      <c r="N89" s="5">
        <v>0</v>
      </c>
      <c r="O89" s="97">
        <f t="shared" si="4"/>
        <v>0</v>
      </c>
      <c r="P89" s="41" t="str">
        <f>IF(O89&gt;1%*'Section 2. Evaluation'!$C$17,"To be confirmed","")</f>
        <v/>
      </c>
      <c r="Q89" s="92"/>
      <c r="R89" s="92"/>
      <c r="S89" s="92"/>
      <c r="T89" s="92"/>
      <c r="U89" s="92"/>
      <c r="V89" s="92"/>
      <c r="W89" s="92"/>
      <c r="X89" s="92"/>
      <c r="Y89" s="92"/>
      <c r="Z89" s="92"/>
      <c r="AA89" s="92"/>
      <c r="AB89" s="92"/>
      <c r="AC89" s="92"/>
    </row>
    <row r="90" spans="1:29">
      <c r="A90" s="93">
        <f t="shared" si="5"/>
        <v>77</v>
      </c>
      <c r="B90" s="178"/>
      <c r="C90" s="179"/>
      <c r="D90" s="180"/>
      <c r="E90" s="94"/>
      <c r="F90" s="94"/>
      <c r="G90" s="94"/>
      <c r="H90" s="94"/>
      <c r="I90" s="173"/>
      <c r="J90" s="94"/>
      <c r="K90" s="98"/>
      <c r="L90" s="96">
        <f>IFERROR(INDEX('Appendix B'!$C$5:$C$42,MATCH('Section 4. Goods and Services'!J90,'Appendix B'!$B$5:$B$42,0)),0)</f>
        <v>0</v>
      </c>
      <c r="M90" s="96">
        <f t="shared" si="3"/>
        <v>0</v>
      </c>
      <c r="N90" s="5">
        <v>0</v>
      </c>
      <c r="O90" s="97">
        <f t="shared" si="4"/>
        <v>0</v>
      </c>
      <c r="P90" s="41" t="str">
        <f>IF(O90&gt;1%*'Section 2. Evaluation'!$C$17,"To be confirmed","")</f>
        <v/>
      </c>
      <c r="Q90" s="92"/>
      <c r="R90" s="92"/>
      <c r="S90" s="92"/>
      <c r="T90" s="92"/>
      <c r="U90" s="92"/>
      <c r="V90" s="92"/>
      <c r="W90" s="92"/>
      <c r="X90" s="92"/>
      <c r="Y90" s="92"/>
      <c r="Z90" s="92"/>
      <c r="AA90" s="92"/>
      <c r="AB90" s="92"/>
      <c r="AC90" s="92"/>
    </row>
    <row r="91" spans="1:29">
      <c r="A91" s="93">
        <f t="shared" si="5"/>
        <v>78</v>
      </c>
      <c r="B91" s="178"/>
      <c r="C91" s="179"/>
      <c r="D91" s="180"/>
      <c r="E91" s="94"/>
      <c r="F91" s="94"/>
      <c r="G91" s="94"/>
      <c r="H91" s="94"/>
      <c r="I91" s="173"/>
      <c r="J91" s="94"/>
      <c r="K91" s="98"/>
      <c r="L91" s="96">
        <f>IFERROR(INDEX('Appendix B'!$C$5:$C$42,MATCH('Section 4. Goods and Services'!J91,'Appendix B'!$B$5:$B$42,0)),0)</f>
        <v>0</v>
      </c>
      <c r="M91" s="96">
        <f t="shared" si="3"/>
        <v>0</v>
      </c>
      <c r="N91" s="5">
        <v>0</v>
      </c>
      <c r="O91" s="97">
        <f t="shared" si="4"/>
        <v>0</v>
      </c>
      <c r="P91" s="41" t="str">
        <f>IF(O91&gt;1%*'Section 2. Evaluation'!$C$17,"To be confirmed","")</f>
        <v/>
      </c>
      <c r="Q91" s="92"/>
      <c r="R91" s="92"/>
      <c r="S91" s="92"/>
      <c r="T91" s="92"/>
      <c r="U91" s="92"/>
      <c r="V91" s="92"/>
      <c r="W91" s="92"/>
      <c r="X91" s="92"/>
      <c r="Y91" s="92"/>
      <c r="Z91" s="92"/>
      <c r="AA91" s="92"/>
      <c r="AB91" s="92"/>
      <c r="AC91" s="92"/>
    </row>
    <row r="92" spans="1:29">
      <c r="A92" s="93">
        <f t="shared" si="5"/>
        <v>79</v>
      </c>
      <c r="B92" s="178"/>
      <c r="C92" s="179"/>
      <c r="D92" s="180"/>
      <c r="E92" s="94"/>
      <c r="F92" s="94"/>
      <c r="G92" s="94"/>
      <c r="H92" s="94"/>
      <c r="I92" s="173"/>
      <c r="J92" s="94"/>
      <c r="K92" s="98"/>
      <c r="L92" s="96">
        <f>IFERROR(INDEX('Appendix B'!$C$5:$C$42,MATCH('Section 4. Goods and Services'!J92,'Appendix B'!$B$5:$B$42,0)),0)</f>
        <v>0</v>
      </c>
      <c r="M92" s="96">
        <f t="shared" si="3"/>
        <v>0</v>
      </c>
      <c r="N92" s="5">
        <v>0</v>
      </c>
      <c r="O92" s="97">
        <f t="shared" si="4"/>
        <v>0</v>
      </c>
      <c r="P92" s="41" t="str">
        <f>IF(O92&gt;1%*'Section 2. Evaluation'!$C$17,"To be confirmed","")</f>
        <v/>
      </c>
      <c r="Q92" s="92"/>
      <c r="R92" s="92"/>
      <c r="S92" s="92"/>
      <c r="T92" s="92"/>
      <c r="U92" s="92"/>
      <c r="V92" s="92"/>
      <c r="W92" s="92"/>
      <c r="X92" s="92"/>
      <c r="Y92" s="92"/>
      <c r="Z92" s="92"/>
      <c r="AA92" s="92"/>
      <c r="AB92" s="92"/>
      <c r="AC92" s="92"/>
    </row>
    <row r="93" spans="1:29">
      <c r="A93" s="93">
        <f t="shared" si="5"/>
        <v>80</v>
      </c>
      <c r="B93" s="178"/>
      <c r="C93" s="179"/>
      <c r="D93" s="180"/>
      <c r="E93" s="94"/>
      <c r="F93" s="94"/>
      <c r="G93" s="94"/>
      <c r="H93" s="94"/>
      <c r="I93" s="173"/>
      <c r="J93" s="94"/>
      <c r="K93" s="98"/>
      <c r="L93" s="96">
        <f>IFERROR(INDEX('Appendix B'!$C$5:$C$42,MATCH('Section 4. Goods and Services'!J93,'Appendix B'!$B$5:$B$42,0)),0)</f>
        <v>0</v>
      </c>
      <c r="M93" s="96">
        <f t="shared" si="3"/>
        <v>0</v>
      </c>
      <c r="N93" s="5">
        <v>0</v>
      </c>
      <c r="O93" s="97">
        <f t="shared" si="4"/>
        <v>0</v>
      </c>
      <c r="P93" s="41" t="str">
        <f>IF(O93&gt;1%*'Section 2. Evaluation'!$C$17,"To be confirmed","")</f>
        <v/>
      </c>
      <c r="Q93" s="92"/>
      <c r="R93" s="92"/>
      <c r="S93" s="92"/>
      <c r="T93" s="92"/>
      <c r="U93" s="92"/>
      <c r="V93" s="92"/>
      <c r="W93" s="92"/>
      <c r="X93" s="92"/>
      <c r="Y93" s="92"/>
      <c r="Z93" s="92"/>
      <c r="AA93" s="92"/>
      <c r="AB93" s="92"/>
      <c r="AC93" s="92"/>
    </row>
    <row r="94" spans="1:29">
      <c r="A94" s="93"/>
      <c r="B94" s="181" t="s">
        <v>35</v>
      </c>
      <c r="C94" s="182"/>
      <c r="D94" s="182"/>
      <c r="E94" s="182"/>
      <c r="F94" s="182"/>
      <c r="G94" s="182"/>
      <c r="H94" s="182"/>
      <c r="I94" s="182"/>
      <c r="J94" s="182"/>
      <c r="K94" s="182"/>
      <c r="L94" s="183"/>
      <c r="M94" s="96">
        <v>0</v>
      </c>
      <c r="N94" s="5">
        <v>0</v>
      </c>
      <c r="O94" s="97">
        <f>N94*M94</f>
        <v>0</v>
      </c>
      <c r="P94" s="41"/>
      <c r="Q94" s="92"/>
      <c r="R94" s="92"/>
      <c r="S94" s="92"/>
      <c r="T94" s="92"/>
      <c r="U94" s="92"/>
      <c r="V94" s="92"/>
      <c r="W94" s="92"/>
      <c r="X94" s="92"/>
      <c r="Y94" s="92"/>
      <c r="Z94" s="92"/>
      <c r="AA94" s="92"/>
      <c r="AB94" s="92"/>
      <c r="AC94" s="92"/>
    </row>
    <row r="95" spans="1:29" ht="17.25">
      <c r="A95" s="93"/>
      <c r="B95" s="181" t="s">
        <v>354</v>
      </c>
      <c r="C95" s="182"/>
      <c r="D95" s="182"/>
      <c r="E95" s="182"/>
      <c r="F95" s="182"/>
      <c r="G95" s="182"/>
      <c r="H95" s="182"/>
      <c r="I95" s="182"/>
      <c r="J95" s="182"/>
      <c r="K95" s="182"/>
      <c r="L95" s="183"/>
      <c r="M95" s="45">
        <f>IFERROR(SUMPRODUCT($N$14:$N$94,$M$14:$M$94)/SUM($N$14:$N$94),0)</f>
        <v>0</v>
      </c>
      <c r="N95" s="5">
        <v>0</v>
      </c>
      <c r="O95" s="42">
        <f>M95*N95</f>
        <v>0</v>
      </c>
      <c r="Q95" s="92"/>
      <c r="R95" s="92"/>
      <c r="S95" s="92"/>
      <c r="T95" s="92"/>
      <c r="U95" s="92"/>
      <c r="V95" s="92"/>
      <c r="W95" s="92"/>
      <c r="X95" s="92"/>
      <c r="Y95" s="92"/>
      <c r="Z95" s="92"/>
      <c r="AA95" s="92"/>
      <c r="AB95" s="92"/>
      <c r="AC95" s="92"/>
    </row>
    <row r="96" spans="1:29" ht="17.25">
      <c r="A96" s="93"/>
      <c r="B96" s="181" t="s">
        <v>355</v>
      </c>
      <c r="C96" s="182"/>
      <c r="D96" s="182"/>
      <c r="E96" s="182"/>
      <c r="F96" s="182"/>
      <c r="G96" s="182"/>
      <c r="H96" s="182"/>
      <c r="I96" s="182"/>
      <c r="J96" s="182"/>
      <c r="K96" s="182"/>
      <c r="L96" s="183"/>
      <c r="M96" s="28">
        <f>IFERROR(SUMPRODUCT($N$14:$N$94,$M$14:$M$94)/SUM($N$14:$N$94),0)</f>
        <v>0</v>
      </c>
      <c r="N96" s="42">
        <f>F9-SUM(N14:N95)</f>
        <v>0</v>
      </c>
      <c r="O96" s="42">
        <f t="shared" si="1"/>
        <v>0</v>
      </c>
      <c r="Q96" s="92"/>
      <c r="R96" s="92"/>
      <c r="S96" s="92"/>
      <c r="T96" s="92"/>
      <c r="U96" s="92"/>
      <c r="V96" s="92"/>
      <c r="W96" s="92"/>
      <c r="X96" s="92"/>
      <c r="Y96" s="92"/>
      <c r="Z96" s="92"/>
      <c r="AA96" s="92"/>
      <c r="AB96" s="92"/>
      <c r="AC96" s="92"/>
    </row>
    <row r="97" spans="1:29">
      <c r="A97" s="93"/>
      <c r="B97" s="181" t="s">
        <v>356</v>
      </c>
      <c r="C97" s="182"/>
      <c r="D97" s="182"/>
      <c r="E97" s="182"/>
      <c r="F97" s="182"/>
      <c r="G97" s="182"/>
      <c r="H97" s="182"/>
      <c r="I97" s="182"/>
      <c r="J97" s="182"/>
      <c r="K97" s="182"/>
      <c r="L97" s="182"/>
      <c r="M97" s="183"/>
      <c r="N97" s="42">
        <f>SUM(N14:N96)</f>
        <v>0</v>
      </c>
      <c r="O97" s="42">
        <f>SUM(O14:O96)</f>
        <v>0</v>
      </c>
      <c r="Q97" s="92"/>
      <c r="R97" s="92"/>
      <c r="S97" s="92"/>
      <c r="T97" s="92"/>
      <c r="U97" s="92"/>
      <c r="V97" s="92"/>
      <c r="W97" s="92"/>
      <c r="X97" s="92"/>
      <c r="Y97" s="92"/>
      <c r="Z97" s="92"/>
      <c r="AA97" s="92"/>
      <c r="AB97" s="92"/>
      <c r="AC97" s="92"/>
    </row>
    <row r="98" spans="1:29" s="110" customFormat="1">
      <c r="A98"/>
      <c r="B98" s="209" t="s">
        <v>141</v>
      </c>
      <c r="C98" s="210"/>
      <c r="D98" s="210"/>
      <c r="E98" s="210"/>
      <c r="F98" s="210"/>
      <c r="G98" s="210"/>
      <c r="H98" s="210"/>
      <c r="I98" s="210"/>
      <c r="J98" s="210"/>
      <c r="K98" s="210"/>
      <c r="L98" s="210"/>
      <c r="M98" s="211"/>
      <c r="N98" s="176" t="str">
        <f>IFERROR(IF(F9=0,"",IF(OR(COUNTIFS($N$14:$N$93,"&gt;"&amp;0)&gt;=10,N96=0),IF(OR((SUM($N$14:$N$53,$N$94:$N$95)/F9)&gt;=70%,COUNTIFS($N$14:$N$53,"&gt;"&amp;0)&gt;=40),IF(OR(N96&lt;500000000,COUNTIFS($N$14:$N$93,"&gt;"&amp;0)=80),"Yes","No"),"No"),"No")),"")</f>
        <v/>
      </c>
      <c r="O98" s="177"/>
    </row>
    <row r="99" spans="1:29" ht="17.25">
      <c r="A99" s="93"/>
      <c r="B99" s="147" t="s">
        <v>361</v>
      </c>
      <c r="C99" s="148"/>
      <c r="D99" s="148"/>
      <c r="E99" s="148"/>
      <c r="F99" s="148"/>
      <c r="G99" s="148"/>
      <c r="H99" s="148"/>
      <c r="I99" s="148"/>
      <c r="J99" s="148"/>
      <c r="K99" s="148"/>
      <c r="L99" s="148"/>
      <c r="M99" s="166"/>
      <c r="N99" s="176" t="str">
        <f>IFERROR(IF(F9=0,"",IF((SUMIFS($N$14:$N$93,$G$14:$G$93,"Goods")/$F$9)&lt;50%,"You need to list 40 suppliers of goods in 4.1 Extra Disclosure","Yes")),"No")</f>
        <v/>
      </c>
      <c r="O99" s="177"/>
      <c r="Q99" s="92"/>
      <c r="R99" s="92"/>
      <c r="S99" s="92"/>
      <c r="T99" s="92"/>
      <c r="U99" s="92"/>
      <c r="V99" s="92"/>
      <c r="W99" s="92"/>
      <c r="X99" s="92"/>
      <c r="Y99" s="92"/>
      <c r="Z99" s="92"/>
      <c r="AA99" s="92"/>
      <c r="AB99" s="92"/>
      <c r="AC99" s="92"/>
    </row>
    <row r="101" spans="1:29">
      <c r="B101" t="s">
        <v>242</v>
      </c>
    </row>
    <row r="102" spans="1:29">
      <c r="B102" t="s">
        <v>332</v>
      </c>
    </row>
    <row r="103" spans="1:29">
      <c r="B103" t="s">
        <v>331</v>
      </c>
    </row>
    <row r="104" spans="1:29">
      <c r="B104" t="s">
        <v>271</v>
      </c>
    </row>
    <row r="105" spans="1:29">
      <c r="B105" t="s">
        <v>334</v>
      </c>
    </row>
    <row r="106" spans="1:29">
      <c r="B106" s="1" t="s">
        <v>333</v>
      </c>
    </row>
    <row r="107" spans="1:29">
      <c r="B107" t="s">
        <v>335</v>
      </c>
    </row>
    <row r="108" spans="1:29">
      <c r="B108" t="s">
        <v>275</v>
      </c>
    </row>
    <row r="109" spans="1:29">
      <c r="B109" t="s">
        <v>276</v>
      </c>
    </row>
    <row r="110" spans="1:29">
      <c r="B110" t="s">
        <v>373</v>
      </c>
    </row>
  </sheetData>
  <sheetProtection algorithmName="SHA-512" hashValue="FuQzdrikx7YgrUwxChoAHjz+p1KnM/9iilH+u4EKb802EroeEWy91fYatEfoFsd9pKrBKyEvdYT/sZSbTTXNhw==" saltValue="zKPRf8S3p+H6c6b0gNEg3Q==" spinCount="100000" sheet="1" objects="1" scenarios="1"/>
  <customSheetViews>
    <customSheetView guid="{475135EF-B9F1-482D-ABF1-1E525C0245D4}" scale="60" showGridLines="0">
      <selection activeCell="F23" sqref="F23"/>
      <pageMargins left="0" right="0" top="0" bottom="0" header="0" footer="0"/>
      <pageSetup paperSize="9" orientation="portrait" r:id="rId1"/>
    </customSheetView>
  </customSheetViews>
  <mergeCells count="99">
    <mergeCell ref="B41:D41"/>
    <mergeCell ref="B49:D49"/>
    <mergeCell ref="B50:D50"/>
    <mergeCell ref="B51:D51"/>
    <mergeCell ref="B40:D40"/>
    <mergeCell ref="B45:D45"/>
    <mergeCell ref="B46:D46"/>
    <mergeCell ref="B47:D47"/>
    <mergeCell ref="B42:D42"/>
    <mergeCell ref="B44:D44"/>
    <mergeCell ref="C4:G4"/>
    <mergeCell ref="C5:G5"/>
    <mergeCell ref="C6:G6"/>
    <mergeCell ref="B38:D38"/>
    <mergeCell ref="B39:D39"/>
    <mergeCell ref="B31:D31"/>
    <mergeCell ref="B23:D23"/>
    <mergeCell ref="B24:D24"/>
    <mergeCell ref="B70:D70"/>
    <mergeCell ref="B71:D71"/>
    <mergeCell ref="B72:D72"/>
    <mergeCell ref="B73:D73"/>
    <mergeCell ref="N99:O99"/>
    <mergeCell ref="B98:M98"/>
    <mergeCell ref="B74:D74"/>
    <mergeCell ref="B75:D75"/>
    <mergeCell ref="B76:D76"/>
    <mergeCell ref="B77:D77"/>
    <mergeCell ref="B78:D78"/>
    <mergeCell ref="B79:D79"/>
    <mergeCell ref="B80:D80"/>
    <mergeCell ref="B81:D81"/>
    <mergeCell ref="B82:D82"/>
    <mergeCell ref="B83:D83"/>
    <mergeCell ref="B65:D65"/>
    <mergeCell ref="B66:D66"/>
    <mergeCell ref="B67:D67"/>
    <mergeCell ref="B68:D68"/>
    <mergeCell ref="B69:D69"/>
    <mergeCell ref="B63:D63"/>
    <mergeCell ref="B64:D64"/>
    <mergeCell ref="B43:D43"/>
    <mergeCell ref="B94:L94"/>
    <mergeCell ref="B96:L96"/>
    <mergeCell ref="B52:D52"/>
    <mergeCell ref="B53:D53"/>
    <mergeCell ref="B54:D54"/>
    <mergeCell ref="B55:D55"/>
    <mergeCell ref="B56:D56"/>
    <mergeCell ref="B57:D57"/>
    <mergeCell ref="B58:D58"/>
    <mergeCell ref="B59:D59"/>
    <mergeCell ref="B60:D60"/>
    <mergeCell ref="B61:D61"/>
    <mergeCell ref="B62:D62"/>
    <mergeCell ref="B2:E2"/>
    <mergeCell ref="B48:D48"/>
    <mergeCell ref="B28:D28"/>
    <mergeCell ref="B29:D29"/>
    <mergeCell ref="B30:D30"/>
    <mergeCell ref="B37:D37"/>
    <mergeCell ref="B32:D32"/>
    <mergeCell ref="B33:D33"/>
    <mergeCell ref="B34:D34"/>
    <mergeCell ref="B35:D35"/>
    <mergeCell ref="B36:D36"/>
    <mergeCell ref="B25:D25"/>
    <mergeCell ref="B26:D26"/>
    <mergeCell ref="B27:D27"/>
    <mergeCell ref="B8:G8"/>
    <mergeCell ref="C3:G3"/>
    <mergeCell ref="Q9:AC10"/>
    <mergeCell ref="B9:E9"/>
    <mergeCell ref="B10:E10"/>
    <mergeCell ref="B13:D13"/>
    <mergeCell ref="B22:D22"/>
    <mergeCell ref="F9:G9"/>
    <mergeCell ref="F10:G10"/>
    <mergeCell ref="B14:D14"/>
    <mergeCell ref="B15:D15"/>
    <mergeCell ref="B16:D16"/>
    <mergeCell ref="B17:D17"/>
    <mergeCell ref="B18:D18"/>
    <mergeCell ref="B20:D20"/>
    <mergeCell ref="B21:D21"/>
    <mergeCell ref="B19:D19"/>
    <mergeCell ref="B84:D84"/>
    <mergeCell ref="B85:D85"/>
    <mergeCell ref="B86:D86"/>
    <mergeCell ref="B87:D87"/>
    <mergeCell ref="B88:D88"/>
    <mergeCell ref="N98:O98"/>
    <mergeCell ref="B89:D89"/>
    <mergeCell ref="B90:D90"/>
    <mergeCell ref="B91:D91"/>
    <mergeCell ref="B92:D92"/>
    <mergeCell ref="B93:D93"/>
    <mergeCell ref="B97:M97"/>
    <mergeCell ref="B95:L95"/>
  </mergeCells>
  <conditionalFormatting sqref="I14:I93">
    <cfRule type="expression" dxfId="2" priority="1">
      <formula>AND(G14="Goods",H14="Local")</formula>
    </cfRule>
  </conditionalFormatting>
  <dataValidations disablePrompts="1" count="6">
    <dataValidation type="decimal" operator="greaterThanOrEqual" allowBlank="1" showInputMessage="1" showErrorMessage="1" sqref="F9 K14:K93 N14:N94" xr:uid="{00000000-0002-0000-0400-000000000000}">
      <formula1>0</formula1>
    </dataValidation>
    <dataValidation type="list" allowBlank="1" showInputMessage="1" showErrorMessage="1" sqref="K3" xr:uid="{00000000-0002-0000-0400-000001000000}">
      <formula1>INDIRECT($J$3)</formula1>
    </dataValidation>
    <dataValidation type="list" allowBlank="1" showInputMessage="1" showErrorMessage="1" sqref="G14:G93" xr:uid="{00000000-0002-0000-0400-000002000000}">
      <formula1>"Goods, Services"</formula1>
    </dataValidation>
    <dataValidation type="list" allowBlank="1" showInputMessage="1" showErrorMessage="1" sqref="H14:H93" xr:uid="{00000000-0002-0000-0400-000003000000}">
      <formula1>"Local, Foreign"</formula1>
    </dataValidation>
    <dataValidation operator="greaterThanOrEqual" allowBlank="1" showInputMessage="1" showErrorMessage="1" sqref="N95" xr:uid="{00000000-0002-0000-0400-000004000000}"/>
    <dataValidation type="custom" showInputMessage="1" showErrorMessage="1" sqref="I14:I93" xr:uid="{B3CF96FE-C80B-4FF6-8189-22F1DA78B1C3}">
      <formula1>AND(G14="Goods",H14="Local")</formula1>
    </dataValidation>
  </dataValidations>
  <pageMargins left="0.7" right="0.7" top="0.75" bottom="0.75" header="0.3" footer="0.3"/>
  <pageSetup paperSize="9" orientation="portrait" r:id="rId2"/>
  <headerFooter>
    <oddHeader>&amp;C&amp;"Times New Roman,Regular"&amp;12&amp;K99CC00Public - عام</oddHeader>
    <evenHeader>&amp;C&amp;"Times New Roman,Regular"&amp;12&amp;K99CC00Public - عام</evenHeader>
    <firstHeader>&amp;C&amp;"Times New Roman,Regular"&amp;12&amp;K99CC00Public - عام</firstHeader>
  </headerFooter>
  <ignoredErrors>
    <ignoredError sqref="O95" formula="1"/>
  </ignoredError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400-000005000000}">
          <x14:formula1>
            <xm:f>IF(AND(G14="Services",H14="Local"),'Appendix B'!$B$5:$B$26,IF(AND(G14="Goods",H14="Local"),'Appendix B'!$B$28:$B$41,IF((AND(G14="Services",H14="Foreign")),'Appendix B'!$B$27,'Appendix B'!$B$42)))</xm:f>
          </x14:formula1>
          <xm:sqref>J14:J93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E2DB5-DFC0-4665-AC3D-64ABB87C7AB7}">
  <sheetPr>
    <pageSetUpPr autoPageBreaks="0"/>
  </sheetPr>
  <dimension ref="A2:AB58"/>
  <sheetViews>
    <sheetView showGridLines="0" zoomScaleNormal="100" workbookViewId="0"/>
  </sheetViews>
  <sheetFormatPr defaultColWidth="8.85546875" defaultRowHeight="15"/>
  <cols>
    <col min="1" max="1" width="4.42578125" customWidth="1"/>
    <col min="2" max="2" width="64.5703125" customWidth="1"/>
    <col min="3" max="3" width="14.42578125" customWidth="1"/>
    <col min="4" max="4" width="10.140625" customWidth="1"/>
    <col min="5" max="5" width="36.140625" customWidth="1"/>
    <col min="6" max="6" width="38.85546875" customWidth="1"/>
    <col min="7" max="7" width="21.85546875" customWidth="1"/>
    <col min="8" max="8" width="40.5703125" customWidth="1"/>
    <col min="9" max="9" width="36.5703125" customWidth="1"/>
    <col min="10" max="10" width="36.42578125" customWidth="1"/>
    <col min="11" max="11" width="19.140625" customWidth="1"/>
    <col min="12" max="12" width="22.28515625" customWidth="1"/>
    <col min="13" max="13" width="41.5703125" customWidth="1"/>
    <col min="14" max="14" width="30.28515625" customWidth="1"/>
    <col min="15" max="15" width="27.140625" customWidth="1"/>
    <col min="16" max="16" width="8.85546875" customWidth="1"/>
  </cols>
  <sheetData>
    <row r="2" spans="1:28">
      <c r="B2" t="s">
        <v>295</v>
      </c>
    </row>
    <row r="4" spans="1:28">
      <c r="B4" s="1"/>
      <c r="C4" s="1"/>
      <c r="D4" s="1"/>
      <c r="E4" s="1"/>
      <c r="F4" s="1"/>
      <c r="G4" s="1"/>
      <c r="H4" s="1"/>
      <c r="I4" s="1"/>
    </row>
    <row r="5" spans="1:28" ht="21">
      <c r="B5" s="199" t="s">
        <v>293</v>
      </c>
      <c r="C5" s="199"/>
      <c r="D5" s="199"/>
      <c r="E5" s="199"/>
      <c r="F5" s="199"/>
      <c r="G5" s="199"/>
      <c r="N5" s="91"/>
      <c r="P5" s="2"/>
    </row>
    <row r="6" spans="1:28" ht="22.5" customHeight="1">
      <c r="B6" s="185" t="s">
        <v>366</v>
      </c>
      <c r="C6" s="186"/>
      <c r="D6" s="186"/>
      <c r="E6" s="187"/>
      <c r="F6" s="196">
        <f>'Section 4. Goods and Services'!$N$96</f>
        <v>0</v>
      </c>
      <c r="G6" s="197"/>
      <c r="P6" s="145"/>
      <c r="Q6" s="145"/>
      <c r="R6" s="145"/>
      <c r="S6" s="145"/>
      <c r="T6" s="145"/>
      <c r="U6" s="145"/>
      <c r="V6" s="145"/>
      <c r="W6" s="145"/>
      <c r="X6" s="145"/>
      <c r="Y6" s="145"/>
      <c r="Z6" s="145"/>
      <c r="AA6" s="145"/>
      <c r="AB6" s="145"/>
    </row>
    <row r="7" spans="1:28" ht="27.75" customHeight="1">
      <c r="B7" s="185" t="s">
        <v>294</v>
      </c>
      <c r="C7" s="186"/>
      <c r="D7" s="186"/>
      <c r="E7" s="187"/>
      <c r="F7" s="269">
        <f>IFERROR((SUM($M$11:$M$50)+SUMIFS('Section 4. Goods and Services'!$N$14:$N$93,'Section 4. Goods and Services'!$G$14:$G$93,"Goods"))/'Section 4. Goods and Services'!$F$9,0)</f>
        <v>0</v>
      </c>
      <c r="G7" s="270"/>
      <c r="J7" s="44"/>
      <c r="N7" s="40"/>
      <c r="P7" s="145"/>
      <c r="Q7" s="145"/>
      <c r="R7" s="145"/>
      <c r="S7" s="145"/>
      <c r="T7" s="145"/>
      <c r="U7" s="145"/>
      <c r="V7" s="145"/>
      <c r="W7" s="145"/>
      <c r="X7" s="145"/>
      <c r="Y7" s="145"/>
      <c r="Z7" s="145"/>
      <c r="AA7" s="145"/>
      <c r="AB7" s="145"/>
    </row>
    <row r="8" spans="1:28" ht="14.45" customHeight="1">
      <c r="B8" s="1"/>
      <c r="C8" s="1"/>
      <c r="D8" s="1"/>
      <c r="E8" s="1"/>
      <c r="F8" s="1"/>
      <c r="G8" s="1"/>
      <c r="H8" s="1"/>
      <c r="I8" s="1"/>
      <c r="J8" s="1"/>
      <c r="K8" s="1"/>
      <c r="L8" s="1"/>
      <c r="M8" s="1"/>
      <c r="N8" s="1"/>
    </row>
    <row r="9" spans="1:28" ht="21" customHeight="1">
      <c r="B9" s="199" t="s">
        <v>296</v>
      </c>
      <c r="C9" s="199"/>
      <c r="D9" s="199"/>
      <c r="E9" s="199"/>
      <c r="F9" s="199"/>
      <c r="G9" s="199"/>
      <c r="H9" s="199"/>
      <c r="I9" s="199"/>
      <c r="J9" s="199"/>
      <c r="K9" s="199"/>
      <c r="L9" s="199"/>
      <c r="M9" s="199"/>
      <c r="N9" s="167"/>
    </row>
    <row r="10" spans="1:28" ht="53.25" customHeight="1">
      <c r="B10" s="191" t="s">
        <v>337</v>
      </c>
      <c r="C10" s="192"/>
      <c r="D10" s="193"/>
      <c r="E10" s="24" t="s">
        <v>338</v>
      </c>
      <c r="F10" s="24" t="s">
        <v>297</v>
      </c>
      <c r="G10" s="24" t="s">
        <v>33</v>
      </c>
      <c r="H10" s="24" t="s">
        <v>363</v>
      </c>
      <c r="I10" s="24" t="s">
        <v>240</v>
      </c>
      <c r="J10" s="24" t="s">
        <v>364</v>
      </c>
      <c r="K10" s="24" t="s">
        <v>273</v>
      </c>
      <c r="L10" s="24" t="s">
        <v>266</v>
      </c>
      <c r="M10" s="24" t="s">
        <v>365</v>
      </c>
      <c r="O10" s="92"/>
      <c r="P10" s="92"/>
      <c r="Q10" s="92"/>
      <c r="R10" s="92"/>
      <c r="S10" s="92"/>
      <c r="T10" s="92"/>
      <c r="U10" s="92"/>
      <c r="V10" s="92"/>
      <c r="W10" s="92"/>
      <c r="X10" s="92"/>
      <c r="Y10" s="92"/>
      <c r="Z10" s="92"/>
      <c r="AA10" s="92"/>
    </row>
    <row r="11" spans="1:28">
      <c r="A11" s="93">
        <v>1</v>
      </c>
      <c r="B11" s="178"/>
      <c r="C11" s="179"/>
      <c r="D11" s="180"/>
      <c r="E11" s="94"/>
      <c r="F11" s="94"/>
      <c r="G11" s="94"/>
      <c r="H11" s="173"/>
      <c r="I11" s="94"/>
      <c r="J11" s="95"/>
      <c r="K11" s="96">
        <f>IFERROR(INDEX('Appendix B'!$C$5:$C$42,MATCH('Section 4.1 Extra Disclosure'!I11,'Appendix B'!$B$5:$B$42,0)),0)</f>
        <v>0</v>
      </c>
      <c r="L11" s="96">
        <f>IF(J11&lt;=0,K11,J11)</f>
        <v>0</v>
      </c>
      <c r="M11" s="5">
        <v>0</v>
      </c>
      <c r="N11" s="41"/>
      <c r="O11" s="92"/>
      <c r="P11" s="92"/>
      <c r="Q11" s="92"/>
      <c r="R11" s="92"/>
      <c r="S11" s="92"/>
      <c r="T11" s="92"/>
      <c r="U11" s="92"/>
      <c r="V11" s="92"/>
      <c r="W11" s="92"/>
      <c r="X11" s="92"/>
      <c r="Y11" s="92"/>
      <c r="Z11" s="92"/>
      <c r="AA11" s="92"/>
    </row>
    <row r="12" spans="1:28">
      <c r="A12" s="93">
        <f>A11+1</f>
        <v>2</v>
      </c>
      <c r="B12" s="178"/>
      <c r="C12" s="179"/>
      <c r="D12" s="180"/>
      <c r="E12" s="94"/>
      <c r="F12" s="94"/>
      <c r="G12" s="94"/>
      <c r="H12" s="173"/>
      <c r="I12" s="94"/>
      <c r="J12" s="98"/>
      <c r="K12" s="96">
        <f>IFERROR(INDEX('Appendix B'!$C$5:$C$42,MATCH('Section 4.1 Extra Disclosure'!I12,'Appendix B'!$B$5:$B$42,0)),0)</f>
        <v>0</v>
      </c>
      <c r="L12" s="96">
        <f t="shared" ref="L12:L48" si="0">IF(J12&lt;=0,K12,J12)</f>
        <v>0</v>
      </c>
      <c r="M12" s="5">
        <v>0</v>
      </c>
      <c r="N12" s="41"/>
      <c r="O12" s="92"/>
      <c r="P12" s="92"/>
      <c r="Q12" s="92"/>
      <c r="R12" s="92"/>
      <c r="S12" s="92"/>
      <c r="T12" s="92"/>
      <c r="U12" s="92"/>
      <c r="V12" s="92"/>
      <c r="W12" s="92"/>
      <c r="X12" s="92"/>
      <c r="Y12" s="92"/>
      <c r="Z12" s="92"/>
      <c r="AA12" s="92"/>
    </row>
    <row r="13" spans="1:28">
      <c r="A13" s="93">
        <f>A12+1</f>
        <v>3</v>
      </c>
      <c r="B13" s="178"/>
      <c r="C13" s="179"/>
      <c r="D13" s="180"/>
      <c r="E13" s="94"/>
      <c r="F13" s="94"/>
      <c r="G13" s="94"/>
      <c r="H13" s="173"/>
      <c r="I13" s="94"/>
      <c r="J13" s="98"/>
      <c r="K13" s="96">
        <f>IFERROR(INDEX('Appendix B'!$C$5:$C$42,MATCH('Section 4.1 Extra Disclosure'!I13,'Appendix B'!$B$5:$B$42,0)),0)</f>
        <v>0</v>
      </c>
      <c r="L13" s="96">
        <f t="shared" si="0"/>
        <v>0</v>
      </c>
      <c r="M13" s="5">
        <v>0</v>
      </c>
      <c r="N13" s="41"/>
      <c r="O13" s="92"/>
      <c r="P13" s="92"/>
      <c r="Q13" s="92"/>
      <c r="R13" s="92"/>
      <c r="S13" s="92"/>
      <c r="T13" s="92"/>
      <c r="U13" s="92"/>
      <c r="V13" s="92"/>
      <c r="W13" s="92"/>
      <c r="X13" s="92"/>
      <c r="Y13" s="92"/>
      <c r="Z13" s="92"/>
      <c r="AA13" s="92"/>
    </row>
    <row r="14" spans="1:28">
      <c r="A14" s="93">
        <f t="shared" ref="A14:A50" si="1">A13+1</f>
        <v>4</v>
      </c>
      <c r="B14" s="178"/>
      <c r="C14" s="179"/>
      <c r="D14" s="180"/>
      <c r="E14" s="94"/>
      <c r="F14" s="94"/>
      <c r="G14" s="94"/>
      <c r="H14" s="173"/>
      <c r="I14" s="94"/>
      <c r="J14" s="98"/>
      <c r="K14" s="96">
        <f>IFERROR(INDEX('Appendix B'!$C$5:$C$42,MATCH('Section 4.1 Extra Disclosure'!I14,'Appendix B'!$B$5:$B$42,0)),0)</f>
        <v>0</v>
      </c>
      <c r="L14" s="96">
        <f t="shared" si="0"/>
        <v>0</v>
      </c>
      <c r="M14" s="5">
        <v>0</v>
      </c>
      <c r="N14" s="41"/>
      <c r="O14" s="92"/>
      <c r="P14" s="92"/>
      <c r="Q14" s="92"/>
      <c r="R14" s="92"/>
      <c r="S14" s="92"/>
      <c r="T14" s="92"/>
      <c r="U14" s="92"/>
      <c r="V14" s="92"/>
      <c r="W14" s="92"/>
      <c r="X14" s="92"/>
      <c r="Y14" s="92"/>
      <c r="Z14" s="92"/>
      <c r="AA14" s="92"/>
    </row>
    <row r="15" spans="1:28">
      <c r="A15" s="93">
        <f t="shared" si="1"/>
        <v>5</v>
      </c>
      <c r="B15" s="178"/>
      <c r="C15" s="179"/>
      <c r="D15" s="180"/>
      <c r="E15" s="94"/>
      <c r="F15" s="94"/>
      <c r="G15" s="94"/>
      <c r="H15" s="173"/>
      <c r="I15" s="94"/>
      <c r="J15" s="98"/>
      <c r="K15" s="96">
        <f>IFERROR(INDEX('Appendix B'!$C$5:$C$42,MATCH('Section 4.1 Extra Disclosure'!I15,'Appendix B'!$B$5:$B$42,0)),0)</f>
        <v>0</v>
      </c>
      <c r="L15" s="96">
        <f t="shared" si="0"/>
        <v>0</v>
      </c>
      <c r="M15" s="5">
        <v>0</v>
      </c>
      <c r="N15" s="41"/>
      <c r="O15" s="92"/>
      <c r="P15" s="92"/>
      <c r="Q15" s="92"/>
      <c r="R15" s="92"/>
      <c r="S15" s="92"/>
      <c r="T15" s="92"/>
      <c r="U15" s="92"/>
      <c r="V15" s="92"/>
      <c r="W15" s="92"/>
      <c r="X15" s="92"/>
      <c r="Y15" s="92"/>
      <c r="Z15" s="92"/>
      <c r="AA15" s="92"/>
    </row>
    <row r="16" spans="1:28">
      <c r="A16" s="93">
        <f t="shared" si="1"/>
        <v>6</v>
      </c>
      <c r="B16" s="178"/>
      <c r="C16" s="179"/>
      <c r="D16" s="180"/>
      <c r="E16" s="94"/>
      <c r="F16" s="94"/>
      <c r="G16" s="94"/>
      <c r="H16" s="173"/>
      <c r="I16" s="94"/>
      <c r="J16" s="98"/>
      <c r="K16" s="96">
        <f>IFERROR(INDEX('Appendix B'!$C$5:$C$42,MATCH('Section 4.1 Extra Disclosure'!I16,'Appendix B'!$B$5:$B$42,0)),0)</f>
        <v>0</v>
      </c>
      <c r="L16" s="96">
        <f t="shared" si="0"/>
        <v>0</v>
      </c>
      <c r="M16" s="5">
        <v>0</v>
      </c>
      <c r="N16" s="41"/>
      <c r="O16" s="92"/>
      <c r="P16" s="92"/>
      <c r="Q16" s="92"/>
      <c r="R16" s="92"/>
      <c r="S16" s="92"/>
      <c r="T16" s="92"/>
      <c r="U16" s="92"/>
      <c r="V16" s="92"/>
      <c r="W16" s="92"/>
      <c r="X16" s="92"/>
      <c r="Y16" s="92"/>
      <c r="Z16" s="92"/>
      <c r="AA16" s="92"/>
    </row>
    <row r="17" spans="1:27">
      <c r="A17" s="93">
        <f t="shared" si="1"/>
        <v>7</v>
      </c>
      <c r="B17" s="178"/>
      <c r="C17" s="179"/>
      <c r="D17" s="180"/>
      <c r="E17" s="94"/>
      <c r="F17" s="94"/>
      <c r="G17" s="94"/>
      <c r="H17" s="173"/>
      <c r="I17" s="94"/>
      <c r="J17" s="98"/>
      <c r="K17" s="96">
        <f>IFERROR(INDEX('Appendix B'!$C$5:$C$42,MATCH('Section 4.1 Extra Disclosure'!I17,'Appendix B'!$B$5:$B$42,0)),0)</f>
        <v>0</v>
      </c>
      <c r="L17" s="96">
        <f t="shared" si="0"/>
        <v>0</v>
      </c>
      <c r="M17" s="5">
        <v>0</v>
      </c>
      <c r="N17" s="41"/>
      <c r="O17" s="92"/>
      <c r="P17" s="92"/>
      <c r="Q17" s="92"/>
      <c r="R17" s="92"/>
      <c r="S17" s="92"/>
      <c r="T17" s="92"/>
      <c r="U17" s="92"/>
      <c r="V17" s="92"/>
      <c r="W17" s="92"/>
      <c r="X17" s="92"/>
      <c r="Y17" s="92"/>
      <c r="Z17" s="92"/>
      <c r="AA17" s="92"/>
    </row>
    <row r="18" spans="1:27">
      <c r="A18" s="93">
        <f t="shared" si="1"/>
        <v>8</v>
      </c>
      <c r="B18" s="178"/>
      <c r="C18" s="179"/>
      <c r="D18" s="180"/>
      <c r="E18" s="94"/>
      <c r="F18" s="94"/>
      <c r="G18" s="94"/>
      <c r="H18" s="173"/>
      <c r="I18" s="94"/>
      <c r="J18" s="98"/>
      <c r="K18" s="96">
        <f>IFERROR(INDEX('Appendix B'!$C$5:$C$42,MATCH('Section 4.1 Extra Disclosure'!I18,'Appendix B'!$B$5:$B$42,0)),0)</f>
        <v>0</v>
      </c>
      <c r="L18" s="96">
        <f t="shared" si="0"/>
        <v>0</v>
      </c>
      <c r="M18" s="5">
        <v>0</v>
      </c>
      <c r="N18" s="41"/>
      <c r="O18" s="92"/>
      <c r="P18" s="92"/>
      <c r="Q18" s="92"/>
      <c r="R18" s="92"/>
      <c r="S18" s="92"/>
      <c r="T18" s="92"/>
      <c r="U18" s="92"/>
      <c r="V18" s="92"/>
      <c r="W18" s="92"/>
      <c r="X18" s="92"/>
      <c r="Y18" s="92"/>
      <c r="Z18" s="92"/>
      <c r="AA18" s="92"/>
    </row>
    <row r="19" spans="1:27">
      <c r="A19" s="93">
        <f t="shared" si="1"/>
        <v>9</v>
      </c>
      <c r="B19" s="178"/>
      <c r="C19" s="179"/>
      <c r="D19" s="180"/>
      <c r="E19" s="94"/>
      <c r="F19" s="94"/>
      <c r="G19" s="94"/>
      <c r="H19" s="173"/>
      <c r="I19" s="94"/>
      <c r="J19" s="98"/>
      <c r="K19" s="96">
        <f>IFERROR(INDEX('Appendix B'!$C$5:$C$42,MATCH('Section 4.1 Extra Disclosure'!I19,'Appendix B'!$B$5:$B$42,0)),0)</f>
        <v>0</v>
      </c>
      <c r="L19" s="96">
        <f t="shared" si="0"/>
        <v>0</v>
      </c>
      <c r="M19" s="5">
        <v>0</v>
      </c>
      <c r="N19" s="41"/>
      <c r="O19" s="92"/>
      <c r="P19" s="92"/>
      <c r="Q19" s="92"/>
      <c r="R19" s="92"/>
      <c r="S19" s="92"/>
      <c r="T19" s="92"/>
      <c r="U19" s="92"/>
      <c r="V19" s="92"/>
      <c r="W19" s="92"/>
      <c r="X19" s="92"/>
      <c r="Y19" s="92"/>
      <c r="Z19" s="92"/>
      <c r="AA19" s="92"/>
    </row>
    <row r="20" spans="1:27">
      <c r="A20" s="93">
        <f t="shared" si="1"/>
        <v>10</v>
      </c>
      <c r="B20" s="178"/>
      <c r="C20" s="179"/>
      <c r="D20" s="180"/>
      <c r="E20" s="94"/>
      <c r="F20" s="94"/>
      <c r="G20" s="94"/>
      <c r="H20" s="173"/>
      <c r="I20" s="94"/>
      <c r="J20" s="98"/>
      <c r="K20" s="96">
        <f>IFERROR(INDEX('Appendix B'!$C$5:$C$42,MATCH('Section 4.1 Extra Disclosure'!I20,'Appendix B'!$B$5:$B$42,0)),0)</f>
        <v>0</v>
      </c>
      <c r="L20" s="96">
        <f t="shared" si="0"/>
        <v>0</v>
      </c>
      <c r="M20" s="5">
        <v>0</v>
      </c>
      <c r="N20" s="41"/>
      <c r="O20" s="92"/>
      <c r="P20" s="92"/>
      <c r="Q20" s="92"/>
      <c r="R20" s="92"/>
      <c r="S20" s="92"/>
      <c r="T20" s="92"/>
      <c r="U20" s="92"/>
      <c r="V20" s="92"/>
      <c r="W20" s="92"/>
      <c r="X20" s="92"/>
      <c r="Y20" s="92"/>
      <c r="Z20" s="92"/>
      <c r="AA20" s="92"/>
    </row>
    <row r="21" spans="1:27">
      <c r="A21" s="93">
        <f t="shared" si="1"/>
        <v>11</v>
      </c>
      <c r="B21" s="178"/>
      <c r="C21" s="179"/>
      <c r="D21" s="180"/>
      <c r="E21" s="94"/>
      <c r="F21" s="94"/>
      <c r="G21" s="94"/>
      <c r="H21" s="173"/>
      <c r="I21" s="94"/>
      <c r="J21" s="98"/>
      <c r="K21" s="96">
        <f>IFERROR(INDEX('Appendix B'!$C$5:$C$42,MATCH('Section 4.1 Extra Disclosure'!I21,'Appendix B'!$B$5:$B$42,0)),0)</f>
        <v>0</v>
      </c>
      <c r="L21" s="96">
        <f t="shared" si="0"/>
        <v>0</v>
      </c>
      <c r="M21" s="5">
        <v>0</v>
      </c>
      <c r="N21" s="41"/>
      <c r="O21" s="92"/>
      <c r="P21" s="92"/>
      <c r="Q21" s="92"/>
      <c r="R21" s="92"/>
      <c r="S21" s="92"/>
      <c r="T21" s="92"/>
      <c r="U21" s="92"/>
      <c r="V21" s="92"/>
      <c r="W21" s="92"/>
      <c r="X21" s="92"/>
      <c r="Y21" s="92"/>
      <c r="Z21" s="92"/>
      <c r="AA21" s="92"/>
    </row>
    <row r="22" spans="1:27">
      <c r="A22" s="93">
        <f t="shared" si="1"/>
        <v>12</v>
      </c>
      <c r="B22" s="178"/>
      <c r="C22" s="179"/>
      <c r="D22" s="180"/>
      <c r="E22" s="94"/>
      <c r="F22" s="94"/>
      <c r="G22" s="94"/>
      <c r="H22" s="173"/>
      <c r="I22" s="94"/>
      <c r="J22" s="98"/>
      <c r="K22" s="96">
        <f>IFERROR(INDEX('Appendix B'!$C$5:$C$42,MATCH('Section 4.1 Extra Disclosure'!I22,'Appendix B'!$B$5:$B$42,0)),0)</f>
        <v>0</v>
      </c>
      <c r="L22" s="96">
        <f t="shared" si="0"/>
        <v>0</v>
      </c>
      <c r="M22" s="5">
        <v>0</v>
      </c>
      <c r="N22" s="41"/>
      <c r="O22" s="92"/>
      <c r="P22" s="92"/>
      <c r="Q22" s="92"/>
      <c r="R22" s="92"/>
      <c r="S22" s="92"/>
      <c r="T22" s="92"/>
      <c r="U22" s="92"/>
      <c r="V22" s="92"/>
      <c r="W22" s="92"/>
      <c r="X22" s="92"/>
      <c r="Y22" s="92"/>
      <c r="Z22" s="92"/>
      <c r="AA22" s="92"/>
    </row>
    <row r="23" spans="1:27">
      <c r="A23" s="93">
        <f t="shared" si="1"/>
        <v>13</v>
      </c>
      <c r="B23" s="178"/>
      <c r="C23" s="179"/>
      <c r="D23" s="180"/>
      <c r="E23" s="94"/>
      <c r="F23" s="94"/>
      <c r="G23" s="94"/>
      <c r="H23" s="173"/>
      <c r="I23" s="94"/>
      <c r="J23" s="98"/>
      <c r="K23" s="96">
        <f>IFERROR(INDEX('Appendix B'!$C$5:$C$42,MATCH('Section 4.1 Extra Disclosure'!I23,'Appendix B'!$B$5:$B$42,0)),0)</f>
        <v>0</v>
      </c>
      <c r="L23" s="96">
        <f t="shared" si="0"/>
        <v>0</v>
      </c>
      <c r="M23" s="5">
        <v>0</v>
      </c>
      <c r="N23" s="41"/>
      <c r="O23" s="92"/>
      <c r="P23" s="92"/>
      <c r="Q23" s="92"/>
      <c r="R23" s="92"/>
      <c r="S23" s="92"/>
      <c r="T23" s="92"/>
      <c r="U23" s="92"/>
      <c r="V23" s="92"/>
      <c r="W23" s="92"/>
      <c r="X23" s="92"/>
      <c r="Y23" s="92"/>
      <c r="Z23" s="92"/>
      <c r="AA23" s="92"/>
    </row>
    <row r="24" spans="1:27">
      <c r="A24" s="93">
        <f t="shared" si="1"/>
        <v>14</v>
      </c>
      <c r="B24" s="178"/>
      <c r="C24" s="179"/>
      <c r="D24" s="180"/>
      <c r="E24" s="94"/>
      <c r="F24" s="94"/>
      <c r="G24" s="94"/>
      <c r="H24" s="173"/>
      <c r="I24" s="94"/>
      <c r="J24" s="98"/>
      <c r="K24" s="96">
        <f>IFERROR(INDEX('Appendix B'!$C$5:$C$42,MATCH('Section 4.1 Extra Disclosure'!I24,'Appendix B'!$B$5:$B$42,0)),0)</f>
        <v>0</v>
      </c>
      <c r="L24" s="96">
        <f t="shared" si="0"/>
        <v>0</v>
      </c>
      <c r="M24" s="5">
        <v>0</v>
      </c>
      <c r="N24" s="41"/>
      <c r="O24" s="92"/>
      <c r="P24" s="92"/>
      <c r="Q24" s="92"/>
      <c r="R24" s="92"/>
      <c r="S24" s="92"/>
      <c r="T24" s="92"/>
      <c r="U24" s="92"/>
      <c r="V24" s="92"/>
      <c r="W24" s="92"/>
      <c r="X24" s="92"/>
      <c r="Y24" s="92"/>
      <c r="Z24" s="92"/>
      <c r="AA24" s="92"/>
    </row>
    <row r="25" spans="1:27">
      <c r="A25" s="93">
        <f>A24+1</f>
        <v>15</v>
      </c>
      <c r="B25" s="178"/>
      <c r="C25" s="179"/>
      <c r="D25" s="180"/>
      <c r="E25" s="94"/>
      <c r="F25" s="94"/>
      <c r="G25" s="94"/>
      <c r="H25" s="173"/>
      <c r="I25" s="94"/>
      <c r="J25" s="98"/>
      <c r="K25" s="96">
        <f>IFERROR(INDEX('Appendix B'!$C$5:$C$42,MATCH('Section 4.1 Extra Disclosure'!I25,'Appendix B'!$B$5:$B$42,0)),0)</f>
        <v>0</v>
      </c>
      <c r="L25" s="96">
        <f t="shared" si="0"/>
        <v>0</v>
      </c>
      <c r="M25" s="5">
        <v>0</v>
      </c>
      <c r="N25" s="41"/>
      <c r="O25" s="92"/>
      <c r="P25" s="92"/>
      <c r="Q25" s="92"/>
      <c r="R25" s="92"/>
      <c r="S25" s="92"/>
      <c r="T25" s="92"/>
      <c r="U25" s="92"/>
      <c r="V25" s="92"/>
      <c r="W25" s="92"/>
      <c r="X25" s="92"/>
      <c r="Y25" s="92"/>
      <c r="Z25" s="92"/>
      <c r="AA25" s="92"/>
    </row>
    <row r="26" spans="1:27">
      <c r="A26" s="93">
        <f t="shared" si="1"/>
        <v>16</v>
      </c>
      <c r="B26" s="178"/>
      <c r="C26" s="179"/>
      <c r="D26" s="180"/>
      <c r="E26" s="94"/>
      <c r="F26" s="94"/>
      <c r="G26" s="94"/>
      <c r="H26" s="173"/>
      <c r="I26" s="94"/>
      <c r="J26" s="98"/>
      <c r="K26" s="96">
        <f>IFERROR(INDEX('Appendix B'!$C$5:$C$42,MATCH('Section 4.1 Extra Disclosure'!I26,'Appendix B'!$B$5:$B$42,0)),0)</f>
        <v>0</v>
      </c>
      <c r="L26" s="96">
        <f t="shared" si="0"/>
        <v>0</v>
      </c>
      <c r="M26" s="5">
        <v>0</v>
      </c>
      <c r="N26" s="41"/>
      <c r="O26" s="92"/>
      <c r="P26" s="92"/>
      <c r="Q26" s="92"/>
      <c r="R26" s="92"/>
      <c r="S26" s="92"/>
      <c r="T26" s="92"/>
      <c r="U26" s="92"/>
      <c r="V26" s="92"/>
      <c r="W26" s="92"/>
      <c r="X26" s="92"/>
      <c r="Y26" s="92"/>
      <c r="Z26" s="92"/>
      <c r="AA26" s="92"/>
    </row>
    <row r="27" spans="1:27">
      <c r="A27" s="93">
        <f t="shared" si="1"/>
        <v>17</v>
      </c>
      <c r="B27" s="178"/>
      <c r="C27" s="179"/>
      <c r="D27" s="180"/>
      <c r="E27" s="94"/>
      <c r="F27" s="94"/>
      <c r="G27" s="94"/>
      <c r="H27" s="173"/>
      <c r="I27" s="94"/>
      <c r="J27" s="98"/>
      <c r="K27" s="96">
        <f>IFERROR(INDEX('Appendix B'!$C$5:$C$42,MATCH('Section 4.1 Extra Disclosure'!I27,'Appendix B'!$B$5:$B$42,0)),0)</f>
        <v>0</v>
      </c>
      <c r="L27" s="96">
        <f t="shared" si="0"/>
        <v>0</v>
      </c>
      <c r="M27" s="5">
        <v>0</v>
      </c>
      <c r="N27" s="41"/>
      <c r="O27" s="92"/>
      <c r="P27" s="92"/>
      <c r="Q27" s="92"/>
      <c r="R27" s="92"/>
      <c r="S27" s="92"/>
      <c r="T27" s="92"/>
      <c r="U27" s="92"/>
      <c r="V27" s="92"/>
      <c r="W27" s="92"/>
      <c r="X27" s="92"/>
      <c r="Y27" s="92"/>
      <c r="Z27" s="92"/>
      <c r="AA27" s="92"/>
    </row>
    <row r="28" spans="1:27">
      <c r="A28" s="93">
        <f t="shared" si="1"/>
        <v>18</v>
      </c>
      <c r="B28" s="178"/>
      <c r="C28" s="179"/>
      <c r="D28" s="180"/>
      <c r="E28" s="94"/>
      <c r="F28" s="94"/>
      <c r="G28" s="94"/>
      <c r="H28" s="173"/>
      <c r="I28" s="94"/>
      <c r="J28" s="98"/>
      <c r="K28" s="96">
        <f>IFERROR(INDEX('Appendix B'!$C$5:$C$42,MATCH('Section 4.1 Extra Disclosure'!I28,'Appendix B'!$B$5:$B$42,0)),0)</f>
        <v>0</v>
      </c>
      <c r="L28" s="96">
        <f t="shared" si="0"/>
        <v>0</v>
      </c>
      <c r="M28" s="5">
        <v>0</v>
      </c>
      <c r="N28" s="41"/>
      <c r="O28" s="92"/>
      <c r="P28" s="92"/>
      <c r="Q28" s="92"/>
      <c r="R28" s="92"/>
      <c r="S28" s="92"/>
      <c r="T28" s="92"/>
      <c r="U28" s="92"/>
      <c r="V28" s="92"/>
      <c r="W28" s="92"/>
      <c r="X28" s="92"/>
      <c r="Y28" s="92"/>
      <c r="Z28" s="92"/>
      <c r="AA28" s="92"/>
    </row>
    <row r="29" spans="1:27">
      <c r="A29" s="93">
        <f t="shared" si="1"/>
        <v>19</v>
      </c>
      <c r="B29" s="178"/>
      <c r="C29" s="179"/>
      <c r="D29" s="180"/>
      <c r="E29" s="94"/>
      <c r="F29" s="94"/>
      <c r="G29" s="94"/>
      <c r="H29" s="173"/>
      <c r="I29" s="94"/>
      <c r="J29" s="98"/>
      <c r="K29" s="96">
        <f>IFERROR(INDEX('Appendix B'!$C$5:$C$42,MATCH('Section 4.1 Extra Disclosure'!I29,'Appendix B'!$B$5:$B$42,0)),0)</f>
        <v>0</v>
      </c>
      <c r="L29" s="96">
        <f t="shared" si="0"/>
        <v>0</v>
      </c>
      <c r="M29" s="5">
        <v>0</v>
      </c>
      <c r="N29" s="41"/>
      <c r="O29" s="92"/>
      <c r="P29" s="92"/>
      <c r="Q29" s="92"/>
      <c r="R29" s="92"/>
      <c r="S29" s="92"/>
      <c r="T29" s="92"/>
      <c r="U29" s="92"/>
      <c r="V29" s="92"/>
      <c r="W29" s="92"/>
      <c r="X29" s="92"/>
      <c r="Y29" s="92"/>
      <c r="Z29" s="92"/>
      <c r="AA29" s="92"/>
    </row>
    <row r="30" spans="1:27">
      <c r="A30" s="93">
        <f t="shared" si="1"/>
        <v>20</v>
      </c>
      <c r="B30" s="178"/>
      <c r="C30" s="179"/>
      <c r="D30" s="180"/>
      <c r="E30" s="94"/>
      <c r="F30" s="94"/>
      <c r="G30" s="94"/>
      <c r="H30" s="173"/>
      <c r="I30" s="94"/>
      <c r="J30" s="98"/>
      <c r="K30" s="96">
        <f>IFERROR(INDEX('Appendix B'!$C$5:$C$42,MATCH('Section 4.1 Extra Disclosure'!I30,'Appendix B'!$B$5:$B$42,0)),0)</f>
        <v>0</v>
      </c>
      <c r="L30" s="96">
        <f t="shared" si="0"/>
        <v>0</v>
      </c>
      <c r="M30" s="5">
        <v>0</v>
      </c>
      <c r="N30" s="41"/>
      <c r="O30" s="92"/>
      <c r="P30" s="92"/>
      <c r="Q30" s="92"/>
      <c r="R30" s="92"/>
      <c r="S30" s="92"/>
      <c r="T30" s="92"/>
      <c r="U30" s="92"/>
      <c r="V30" s="92"/>
      <c r="W30" s="92"/>
      <c r="X30" s="92"/>
      <c r="Y30" s="92"/>
      <c r="Z30" s="92"/>
      <c r="AA30" s="92"/>
    </row>
    <row r="31" spans="1:27">
      <c r="A31" s="93">
        <f t="shared" si="1"/>
        <v>21</v>
      </c>
      <c r="B31" s="178"/>
      <c r="C31" s="179"/>
      <c r="D31" s="180"/>
      <c r="E31" s="94"/>
      <c r="F31" s="94"/>
      <c r="G31" s="94"/>
      <c r="H31" s="173"/>
      <c r="I31" s="94"/>
      <c r="J31" s="98"/>
      <c r="K31" s="96">
        <f>IFERROR(INDEX('Appendix B'!$C$5:$C$42,MATCH('Section 4.1 Extra Disclosure'!I31,'Appendix B'!$B$5:$B$42,0)),0)</f>
        <v>0</v>
      </c>
      <c r="L31" s="96">
        <f t="shared" si="0"/>
        <v>0</v>
      </c>
      <c r="M31" s="5">
        <v>0</v>
      </c>
      <c r="N31" s="41"/>
      <c r="O31" s="92"/>
      <c r="P31" s="92"/>
      <c r="Q31" s="92"/>
      <c r="R31" s="92"/>
      <c r="S31" s="92"/>
      <c r="T31" s="92"/>
      <c r="U31" s="92"/>
      <c r="V31" s="92"/>
      <c r="W31" s="92"/>
      <c r="X31" s="92"/>
      <c r="Y31" s="92"/>
      <c r="Z31" s="92"/>
      <c r="AA31" s="92"/>
    </row>
    <row r="32" spans="1:27">
      <c r="A32" s="93">
        <f t="shared" si="1"/>
        <v>22</v>
      </c>
      <c r="B32" s="178"/>
      <c r="C32" s="179"/>
      <c r="D32" s="180"/>
      <c r="E32" s="94"/>
      <c r="F32" s="94"/>
      <c r="G32" s="94"/>
      <c r="H32" s="173"/>
      <c r="I32" s="94"/>
      <c r="J32" s="98"/>
      <c r="K32" s="96">
        <f>IFERROR(INDEX('Appendix B'!$C$5:$C$42,MATCH('Section 4.1 Extra Disclosure'!I32,'Appendix B'!$B$5:$B$42,0)),0)</f>
        <v>0</v>
      </c>
      <c r="L32" s="96">
        <f t="shared" si="0"/>
        <v>0</v>
      </c>
      <c r="M32" s="5">
        <v>0</v>
      </c>
      <c r="N32" s="41"/>
      <c r="O32" s="92"/>
      <c r="P32" s="92"/>
      <c r="Q32" s="92"/>
      <c r="R32" s="92"/>
      <c r="S32" s="92"/>
      <c r="T32" s="92"/>
      <c r="U32" s="92"/>
      <c r="V32" s="92"/>
      <c r="W32" s="92"/>
      <c r="X32" s="92"/>
      <c r="Y32" s="92"/>
      <c r="Z32" s="92"/>
      <c r="AA32" s="92"/>
    </row>
    <row r="33" spans="1:27">
      <c r="A33" s="93">
        <f t="shared" si="1"/>
        <v>23</v>
      </c>
      <c r="B33" s="178"/>
      <c r="C33" s="179"/>
      <c r="D33" s="180"/>
      <c r="E33" s="94"/>
      <c r="F33" s="94"/>
      <c r="G33" s="94"/>
      <c r="H33" s="173"/>
      <c r="I33" s="94"/>
      <c r="J33" s="98"/>
      <c r="K33" s="96">
        <f>IFERROR(INDEX('Appendix B'!$C$5:$C$42,MATCH('Section 4.1 Extra Disclosure'!I33,'Appendix B'!$B$5:$B$42,0)),0)</f>
        <v>0</v>
      </c>
      <c r="L33" s="96">
        <f t="shared" si="0"/>
        <v>0</v>
      </c>
      <c r="M33" s="5">
        <v>0</v>
      </c>
      <c r="N33" s="41"/>
      <c r="O33" s="92"/>
      <c r="P33" s="92"/>
      <c r="Q33" s="92"/>
      <c r="R33" s="92"/>
      <c r="S33" s="92"/>
      <c r="T33" s="92"/>
      <c r="U33" s="92"/>
      <c r="V33" s="92"/>
      <c r="W33" s="92"/>
      <c r="X33" s="92"/>
      <c r="Y33" s="92"/>
      <c r="Z33" s="92"/>
      <c r="AA33" s="92"/>
    </row>
    <row r="34" spans="1:27">
      <c r="A34" s="93">
        <f t="shared" si="1"/>
        <v>24</v>
      </c>
      <c r="B34" s="178"/>
      <c r="C34" s="179"/>
      <c r="D34" s="180"/>
      <c r="E34" s="94"/>
      <c r="F34" s="94"/>
      <c r="G34" s="94"/>
      <c r="H34" s="173"/>
      <c r="I34" s="94"/>
      <c r="J34" s="98"/>
      <c r="K34" s="96">
        <f>IFERROR(INDEX('Appendix B'!$C$5:$C$42,MATCH('Section 4.1 Extra Disclosure'!I34,'Appendix B'!$B$5:$B$42,0)),0)</f>
        <v>0</v>
      </c>
      <c r="L34" s="96">
        <f t="shared" si="0"/>
        <v>0</v>
      </c>
      <c r="M34" s="5">
        <v>0</v>
      </c>
      <c r="N34" s="41"/>
      <c r="O34" s="92"/>
      <c r="P34" s="92"/>
      <c r="Q34" s="92"/>
      <c r="R34" s="92"/>
      <c r="S34" s="92"/>
      <c r="T34" s="92"/>
      <c r="U34" s="92"/>
      <c r="V34" s="92"/>
      <c r="W34" s="92"/>
      <c r="X34" s="92"/>
      <c r="Y34" s="92"/>
      <c r="Z34" s="92"/>
      <c r="AA34" s="92"/>
    </row>
    <row r="35" spans="1:27">
      <c r="A35" s="93">
        <f t="shared" si="1"/>
        <v>25</v>
      </c>
      <c r="B35" s="178"/>
      <c r="C35" s="179"/>
      <c r="D35" s="180"/>
      <c r="E35" s="94"/>
      <c r="F35" s="94"/>
      <c r="G35" s="94"/>
      <c r="H35" s="173"/>
      <c r="I35" s="94"/>
      <c r="J35" s="98"/>
      <c r="K35" s="96">
        <f>IFERROR(INDEX('Appendix B'!$C$5:$C$42,MATCH('Section 4.1 Extra Disclosure'!I35,'Appendix B'!$B$5:$B$42,0)),0)</f>
        <v>0</v>
      </c>
      <c r="L35" s="96">
        <f t="shared" si="0"/>
        <v>0</v>
      </c>
      <c r="M35" s="5">
        <v>0</v>
      </c>
      <c r="N35" s="41"/>
      <c r="O35" s="92"/>
      <c r="P35" s="92"/>
      <c r="Q35" s="92"/>
      <c r="R35" s="92"/>
      <c r="S35" s="92"/>
      <c r="T35" s="92"/>
      <c r="U35" s="92"/>
      <c r="V35" s="92"/>
      <c r="W35" s="92"/>
      <c r="X35" s="92"/>
      <c r="Y35" s="92"/>
      <c r="Z35" s="92"/>
      <c r="AA35" s="92"/>
    </row>
    <row r="36" spans="1:27">
      <c r="A36" s="93">
        <f t="shared" si="1"/>
        <v>26</v>
      </c>
      <c r="B36" s="178"/>
      <c r="C36" s="179"/>
      <c r="D36" s="180"/>
      <c r="E36" s="94"/>
      <c r="F36" s="94"/>
      <c r="G36" s="94"/>
      <c r="H36" s="173"/>
      <c r="I36" s="94"/>
      <c r="J36" s="98"/>
      <c r="K36" s="96">
        <f>IFERROR(INDEX('Appendix B'!$C$5:$C$42,MATCH('Section 4.1 Extra Disclosure'!I36,'Appendix B'!$B$5:$B$42,0)),0)</f>
        <v>0</v>
      </c>
      <c r="L36" s="96">
        <f t="shared" si="0"/>
        <v>0</v>
      </c>
      <c r="M36" s="5">
        <v>0</v>
      </c>
      <c r="N36" s="41"/>
      <c r="O36" s="92"/>
      <c r="P36" s="92"/>
      <c r="Q36" s="92"/>
      <c r="R36" s="92"/>
      <c r="S36" s="92"/>
      <c r="T36" s="92"/>
      <c r="U36" s="92"/>
      <c r="V36" s="92"/>
      <c r="W36" s="92"/>
      <c r="X36" s="92"/>
      <c r="Y36" s="92"/>
      <c r="Z36" s="92"/>
      <c r="AA36" s="92"/>
    </row>
    <row r="37" spans="1:27">
      <c r="A37" s="93">
        <f t="shared" si="1"/>
        <v>27</v>
      </c>
      <c r="B37" s="178"/>
      <c r="C37" s="179"/>
      <c r="D37" s="180"/>
      <c r="E37" s="94"/>
      <c r="F37" s="94"/>
      <c r="G37" s="94"/>
      <c r="H37" s="173"/>
      <c r="I37" s="94"/>
      <c r="J37" s="98"/>
      <c r="K37" s="96">
        <f>IFERROR(INDEX('Appendix B'!$C$5:$C$42,MATCH('Section 4.1 Extra Disclosure'!I37,'Appendix B'!$B$5:$B$42,0)),0)</f>
        <v>0</v>
      </c>
      <c r="L37" s="96">
        <f t="shared" si="0"/>
        <v>0</v>
      </c>
      <c r="M37" s="5">
        <v>0</v>
      </c>
      <c r="N37" s="41"/>
      <c r="O37" s="92"/>
      <c r="P37" s="92"/>
      <c r="Q37" s="92"/>
      <c r="R37" s="92"/>
      <c r="S37" s="92"/>
      <c r="T37" s="92"/>
      <c r="U37" s="92"/>
      <c r="V37" s="92"/>
      <c r="W37" s="92"/>
      <c r="X37" s="92"/>
      <c r="Y37" s="92"/>
      <c r="Z37" s="92"/>
      <c r="AA37" s="92"/>
    </row>
    <row r="38" spans="1:27">
      <c r="A38" s="93">
        <f t="shared" si="1"/>
        <v>28</v>
      </c>
      <c r="B38" s="178"/>
      <c r="C38" s="179"/>
      <c r="D38" s="180"/>
      <c r="E38" s="94"/>
      <c r="F38" s="94"/>
      <c r="G38" s="94"/>
      <c r="H38" s="173"/>
      <c r="I38" s="94"/>
      <c r="J38" s="98"/>
      <c r="K38" s="96">
        <f>IFERROR(INDEX('Appendix B'!$C$5:$C$42,MATCH('Section 4.1 Extra Disclosure'!I38,'Appendix B'!$B$5:$B$42,0)),0)</f>
        <v>0</v>
      </c>
      <c r="L38" s="96">
        <f t="shared" si="0"/>
        <v>0</v>
      </c>
      <c r="M38" s="5">
        <v>0</v>
      </c>
      <c r="N38" s="41"/>
      <c r="O38" s="92"/>
      <c r="P38" s="92"/>
      <c r="Q38" s="92"/>
      <c r="R38" s="92"/>
      <c r="S38" s="92"/>
      <c r="T38" s="92"/>
      <c r="U38" s="92"/>
      <c r="V38" s="92"/>
      <c r="W38" s="92"/>
      <c r="X38" s="92"/>
      <c r="Y38" s="92"/>
      <c r="Z38" s="92"/>
      <c r="AA38" s="92"/>
    </row>
    <row r="39" spans="1:27">
      <c r="A39" s="93">
        <f t="shared" si="1"/>
        <v>29</v>
      </c>
      <c r="B39" s="178"/>
      <c r="C39" s="179"/>
      <c r="D39" s="180"/>
      <c r="E39" s="94"/>
      <c r="F39" s="94"/>
      <c r="G39" s="94"/>
      <c r="H39" s="173"/>
      <c r="I39" s="94"/>
      <c r="J39" s="98"/>
      <c r="K39" s="96">
        <f>IFERROR(INDEX('Appendix B'!$C$5:$C$42,MATCH('Section 4.1 Extra Disclosure'!I39,'Appendix B'!$B$5:$B$42,0)),0)</f>
        <v>0</v>
      </c>
      <c r="L39" s="96">
        <f t="shared" si="0"/>
        <v>0</v>
      </c>
      <c r="M39" s="5">
        <v>0</v>
      </c>
      <c r="N39" s="41"/>
      <c r="O39" s="92"/>
      <c r="P39" s="92"/>
      <c r="Q39" s="92"/>
      <c r="R39" s="92"/>
      <c r="S39" s="92"/>
      <c r="T39" s="92"/>
      <c r="U39" s="92"/>
      <c r="V39" s="92"/>
      <c r="W39" s="92"/>
      <c r="X39" s="92"/>
      <c r="Y39" s="92"/>
      <c r="Z39" s="92"/>
      <c r="AA39" s="92"/>
    </row>
    <row r="40" spans="1:27">
      <c r="A40" s="93">
        <f t="shared" si="1"/>
        <v>30</v>
      </c>
      <c r="B40" s="178"/>
      <c r="C40" s="179"/>
      <c r="D40" s="180"/>
      <c r="E40" s="94"/>
      <c r="F40" s="94"/>
      <c r="G40" s="94"/>
      <c r="H40" s="173"/>
      <c r="I40" s="94"/>
      <c r="J40" s="98"/>
      <c r="K40" s="96">
        <f>IFERROR(INDEX('Appendix B'!$C$5:$C$42,MATCH('Section 4.1 Extra Disclosure'!I40,'Appendix B'!$B$5:$B$42,0)),0)</f>
        <v>0</v>
      </c>
      <c r="L40" s="96">
        <f t="shared" si="0"/>
        <v>0</v>
      </c>
      <c r="M40" s="5">
        <v>0</v>
      </c>
      <c r="N40" s="41"/>
      <c r="O40" s="92"/>
      <c r="P40" s="92"/>
      <c r="Q40" s="92"/>
      <c r="R40" s="92"/>
      <c r="S40" s="92"/>
      <c r="T40" s="92"/>
      <c r="U40" s="92"/>
      <c r="V40" s="92"/>
      <c r="W40" s="92"/>
      <c r="X40" s="92"/>
      <c r="Y40" s="92"/>
      <c r="Z40" s="92"/>
      <c r="AA40" s="92"/>
    </row>
    <row r="41" spans="1:27">
      <c r="A41" s="93">
        <f t="shared" si="1"/>
        <v>31</v>
      </c>
      <c r="B41" s="178"/>
      <c r="C41" s="179"/>
      <c r="D41" s="180"/>
      <c r="E41" s="94"/>
      <c r="F41" s="94"/>
      <c r="G41" s="94"/>
      <c r="H41" s="173"/>
      <c r="I41" s="94"/>
      <c r="J41" s="98"/>
      <c r="K41" s="96">
        <f>IFERROR(INDEX('Appendix B'!$C$5:$C$42,MATCH('Section 4.1 Extra Disclosure'!I41,'Appendix B'!$B$5:$B$42,0)),0)</f>
        <v>0</v>
      </c>
      <c r="L41" s="96">
        <f t="shared" si="0"/>
        <v>0</v>
      </c>
      <c r="M41" s="5">
        <v>0</v>
      </c>
      <c r="N41" s="41"/>
      <c r="O41" s="92"/>
      <c r="P41" s="92"/>
      <c r="Q41" s="92"/>
      <c r="R41" s="92"/>
      <c r="S41" s="92"/>
      <c r="T41" s="92"/>
      <c r="U41" s="92"/>
      <c r="V41" s="92"/>
      <c r="W41" s="92"/>
      <c r="X41" s="92"/>
      <c r="Y41" s="92"/>
      <c r="Z41" s="92"/>
      <c r="AA41" s="92"/>
    </row>
    <row r="42" spans="1:27">
      <c r="A42" s="93">
        <f t="shared" si="1"/>
        <v>32</v>
      </c>
      <c r="B42" s="178"/>
      <c r="C42" s="179"/>
      <c r="D42" s="180"/>
      <c r="E42" s="94"/>
      <c r="F42" s="94"/>
      <c r="G42" s="94"/>
      <c r="H42" s="173"/>
      <c r="I42" s="94"/>
      <c r="J42" s="98"/>
      <c r="K42" s="96">
        <f>IFERROR(INDEX('Appendix B'!$C$5:$C$42,MATCH('Section 4.1 Extra Disclosure'!I42,'Appendix B'!$B$5:$B$42,0)),0)</f>
        <v>0</v>
      </c>
      <c r="L42" s="96">
        <f t="shared" si="0"/>
        <v>0</v>
      </c>
      <c r="M42" s="5">
        <v>0</v>
      </c>
      <c r="N42" s="41"/>
      <c r="O42" s="92"/>
      <c r="P42" s="92"/>
      <c r="Q42" s="92"/>
      <c r="R42" s="92"/>
      <c r="S42" s="92"/>
      <c r="T42" s="92"/>
      <c r="U42" s="92"/>
      <c r="V42" s="92"/>
      <c r="W42" s="92"/>
      <c r="X42" s="92"/>
      <c r="Y42" s="92"/>
      <c r="Z42" s="92"/>
      <c r="AA42" s="92"/>
    </row>
    <row r="43" spans="1:27">
      <c r="A43" s="93">
        <f t="shared" si="1"/>
        <v>33</v>
      </c>
      <c r="B43" s="178"/>
      <c r="C43" s="179"/>
      <c r="D43" s="180"/>
      <c r="E43" s="94"/>
      <c r="F43" s="94"/>
      <c r="G43" s="94"/>
      <c r="H43" s="173"/>
      <c r="I43" s="94"/>
      <c r="J43" s="98"/>
      <c r="K43" s="96">
        <f>IFERROR(INDEX('Appendix B'!$C$5:$C$42,MATCH('Section 4.1 Extra Disclosure'!I43,'Appendix B'!$B$5:$B$42,0)),0)</f>
        <v>0</v>
      </c>
      <c r="L43" s="96">
        <f t="shared" si="0"/>
        <v>0</v>
      </c>
      <c r="M43" s="5">
        <v>0</v>
      </c>
      <c r="N43" s="41"/>
      <c r="O43" s="92"/>
      <c r="P43" s="92"/>
      <c r="Q43" s="92"/>
      <c r="R43" s="92"/>
      <c r="S43" s="92"/>
      <c r="T43" s="92"/>
      <c r="U43" s="92"/>
      <c r="V43" s="92"/>
      <c r="W43" s="92"/>
      <c r="X43" s="92"/>
      <c r="Y43" s="92"/>
      <c r="Z43" s="92"/>
      <c r="AA43" s="92"/>
    </row>
    <row r="44" spans="1:27">
      <c r="A44" s="93">
        <f t="shared" si="1"/>
        <v>34</v>
      </c>
      <c r="B44" s="178"/>
      <c r="C44" s="179"/>
      <c r="D44" s="180"/>
      <c r="E44" s="94"/>
      <c r="F44" s="94"/>
      <c r="G44" s="94"/>
      <c r="H44" s="173"/>
      <c r="I44" s="94"/>
      <c r="J44" s="98"/>
      <c r="K44" s="96">
        <f>IFERROR(INDEX('Appendix B'!$C$5:$C$42,MATCH('Section 4.1 Extra Disclosure'!I44,'Appendix B'!$B$5:$B$42,0)),0)</f>
        <v>0</v>
      </c>
      <c r="L44" s="96">
        <f t="shared" si="0"/>
        <v>0</v>
      </c>
      <c r="M44" s="5">
        <v>0</v>
      </c>
      <c r="N44" s="41"/>
      <c r="O44" s="92"/>
      <c r="P44" s="92"/>
      <c r="Q44" s="92"/>
      <c r="R44" s="92"/>
      <c r="S44" s="92"/>
      <c r="T44" s="92"/>
      <c r="U44" s="92"/>
      <c r="V44" s="92"/>
      <c r="W44" s="92"/>
      <c r="X44" s="92"/>
      <c r="Y44" s="92"/>
      <c r="Z44" s="92"/>
      <c r="AA44" s="92"/>
    </row>
    <row r="45" spans="1:27">
      <c r="A45" s="93">
        <f t="shared" si="1"/>
        <v>35</v>
      </c>
      <c r="B45" s="178"/>
      <c r="C45" s="179"/>
      <c r="D45" s="180"/>
      <c r="E45" s="94"/>
      <c r="F45" s="94"/>
      <c r="G45" s="94"/>
      <c r="H45" s="173"/>
      <c r="I45" s="94"/>
      <c r="J45" s="98"/>
      <c r="K45" s="96">
        <f>IFERROR(INDEX('Appendix B'!$C$5:$C$42,MATCH('Section 4.1 Extra Disclosure'!I45,'Appendix B'!$B$5:$B$42,0)),0)</f>
        <v>0</v>
      </c>
      <c r="L45" s="96">
        <f t="shared" si="0"/>
        <v>0</v>
      </c>
      <c r="M45" s="5">
        <v>0</v>
      </c>
      <c r="N45" s="41"/>
      <c r="O45" s="92"/>
      <c r="P45" s="92"/>
      <c r="Q45" s="92"/>
      <c r="R45" s="92"/>
      <c r="S45" s="92"/>
      <c r="T45" s="92"/>
      <c r="U45" s="92"/>
      <c r="V45" s="92"/>
      <c r="W45" s="92"/>
      <c r="X45" s="92"/>
      <c r="Y45" s="92"/>
      <c r="Z45" s="92"/>
      <c r="AA45" s="92"/>
    </row>
    <row r="46" spans="1:27">
      <c r="A46" s="93">
        <f t="shared" si="1"/>
        <v>36</v>
      </c>
      <c r="B46" s="178"/>
      <c r="C46" s="179"/>
      <c r="D46" s="180"/>
      <c r="E46" s="94"/>
      <c r="F46" s="94"/>
      <c r="G46" s="94"/>
      <c r="H46" s="173"/>
      <c r="I46" s="94"/>
      <c r="J46" s="98"/>
      <c r="K46" s="96">
        <f>IFERROR(INDEX('Appendix B'!$C$5:$C$42,MATCH('Section 4.1 Extra Disclosure'!I46,'Appendix B'!$B$5:$B$42,0)),0)</f>
        <v>0</v>
      </c>
      <c r="L46" s="96">
        <f t="shared" si="0"/>
        <v>0</v>
      </c>
      <c r="M46" s="5">
        <v>0</v>
      </c>
      <c r="N46" s="41"/>
      <c r="O46" s="92"/>
      <c r="P46" s="92"/>
      <c r="Q46" s="92"/>
      <c r="R46" s="92"/>
      <c r="S46" s="92"/>
      <c r="T46" s="92"/>
      <c r="U46" s="92"/>
      <c r="V46" s="92"/>
      <c r="W46" s="92"/>
      <c r="X46" s="92"/>
      <c r="Y46" s="92"/>
      <c r="Z46" s="92"/>
      <c r="AA46" s="92"/>
    </row>
    <row r="47" spans="1:27">
      <c r="A47" s="93">
        <f t="shared" si="1"/>
        <v>37</v>
      </c>
      <c r="B47" s="178"/>
      <c r="C47" s="179"/>
      <c r="D47" s="180"/>
      <c r="E47" s="94"/>
      <c r="F47" s="94"/>
      <c r="G47" s="94"/>
      <c r="H47" s="173"/>
      <c r="I47" s="94"/>
      <c r="J47" s="98"/>
      <c r="K47" s="96">
        <f>IFERROR(INDEX('Appendix B'!$C$5:$C$42,MATCH('Section 4.1 Extra Disclosure'!I47,'Appendix B'!$B$5:$B$42,0)),0)</f>
        <v>0</v>
      </c>
      <c r="L47" s="96">
        <f t="shared" si="0"/>
        <v>0</v>
      </c>
      <c r="M47" s="5">
        <v>0</v>
      </c>
      <c r="N47" s="41"/>
      <c r="O47" s="92"/>
      <c r="P47" s="92"/>
      <c r="Q47" s="92"/>
      <c r="R47" s="92"/>
      <c r="S47" s="92"/>
      <c r="T47" s="92"/>
      <c r="U47" s="92"/>
      <c r="V47" s="92"/>
      <c r="W47" s="92"/>
      <c r="X47" s="92"/>
      <c r="Y47" s="92"/>
      <c r="Z47" s="92"/>
      <c r="AA47" s="92"/>
    </row>
    <row r="48" spans="1:27">
      <c r="A48" s="93">
        <f t="shared" si="1"/>
        <v>38</v>
      </c>
      <c r="B48" s="178"/>
      <c r="C48" s="179"/>
      <c r="D48" s="180"/>
      <c r="E48" s="94"/>
      <c r="F48" s="94"/>
      <c r="G48" s="94"/>
      <c r="H48" s="173"/>
      <c r="I48" s="94"/>
      <c r="J48" s="98"/>
      <c r="K48" s="96">
        <f>IFERROR(INDEX('Appendix B'!$C$5:$C$42,MATCH('Section 4.1 Extra Disclosure'!I48,'Appendix B'!$B$5:$B$42,0)),0)</f>
        <v>0</v>
      </c>
      <c r="L48" s="96">
        <f t="shared" si="0"/>
        <v>0</v>
      </c>
      <c r="M48" s="5">
        <v>0</v>
      </c>
      <c r="N48" s="41"/>
      <c r="O48" s="92"/>
      <c r="P48" s="92"/>
      <c r="Q48" s="92"/>
      <c r="R48" s="92"/>
      <c r="S48" s="92"/>
      <c r="T48" s="92"/>
      <c r="U48" s="92"/>
      <c r="V48" s="92"/>
      <c r="W48" s="92"/>
      <c r="X48" s="92"/>
      <c r="Y48" s="92"/>
      <c r="Z48" s="92"/>
      <c r="AA48" s="92"/>
    </row>
    <row r="49" spans="1:27">
      <c r="A49" s="93">
        <f>A48+1</f>
        <v>39</v>
      </c>
      <c r="B49" s="178"/>
      <c r="C49" s="179"/>
      <c r="D49" s="180"/>
      <c r="E49" s="94"/>
      <c r="F49" s="94"/>
      <c r="G49" s="94"/>
      <c r="H49" s="173"/>
      <c r="I49" s="94"/>
      <c r="J49" s="98"/>
      <c r="K49" s="96">
        <f>IFERROR(INDEX('Appendix B'!$C$5:$C$42,MATCH('Section 4.1 Extra Disclosure'!I49,'Appendix B'!$B$5:$B$42,0)),0)</f>
        <v>0</v>
      </c>
      <c r="L49" s="96">
        <f t="shared" ref="L49:L50" si="2">IF(J49&lt;=0,K49,J49)</f>
        <v>0</v>
      </c>
      <c r="M49" s="5">
        <v>0</v>
      </c>
      <c r="N49" s="41"/>
      <c r="O49" s="92"/>
      <c r="P49" s="92"/>
      <c r="Q49" s="92"/>
      <c r="R49" s="92"/>
      <c r="S49" s="92"/>
      <c r="T49" s="92"/>
      <c r="U49" s="92"/>
      <c r="V49" s="92"/>
      <c r="W49" s="92"/>
      <c r="X49" s="92"/>
      <c r="Y49" s="92"/>
      <c r="Z49" s="92"/>
      <c r="AA49" s="92"/>
    </row>
    <row r="50" spans="1:27">
      <c r="A50" s="93">
        <f t="shared" si="1"/>
        <v>40</v>
      </c>
      <c r="B50" s="178"/>
      <c r="C50" s="179"/>
      <c r="D50" s="180"/>
      <c r="E50" s="94"/>
      <c r="F50" s="94"/>
      <c r="G50" s="94"/>
      <c r="H50" s="173"/>
      <c r="I50" s="94"/>
      <c r="J50" s="98"/>
      <c r="K50" s="96">
        <f>IFERROR(INDEX('Appendix B'!$C$5:$C$42,MATCH('Section 4.1 Extra Disclosure'!I50,'Appendix B'!$B$5:$B$42,0)),0)</f>
        <v>0</v>
      </c>
      <c r="L50" s="96">
        <f t="shared" si="2"/>
        <v>0</v>
      </c>
      <c r="M50" s="5">
        <v>0</v>
      </c>
      <c r="N50" s="41"/>
      <c r="O50" s="92"/>
      <c r="P50" s="92"/>
      <c r="Q50" s="92"/>
      <c r="R50" s="92"/>
      <c r="S50" s="92"/>
      <c r="T50" s="92"/>
      <c r="U50" s="92"/>
      <c r="V50" s="92"/>
      <c r="W50" s="92"/>
      <c r="X50" s="92"/>
      <c r="Y50" s="92"/>
      <c r="Z50" s="92"/>
      <c r="AA50" s="92"/>
    </row>
    <row r="51" spans="1:27">
      <c r="A51" s="93"/>
      <c r="B51" s="181" t="s">
        <v>362</v>
      </c>
      <c r="C51" s="182"/>
      <c r="D51" s="182"/>
      <c r="E51" s="182"/>
      <c r="F51" s="182"/>
      <c r="G51" s="182"/>
      <c r="H51" s="182"/>
      <c r="I51" s="182"/>
      <c r="J51" s="182"/>
      <c r="K51" s="182"/>
      <c r="L51" s="183"/>
      <c r="M51" s="42">
        <f>F6-SUM(M11:M50)</f>
        <v>0</v>
      </c>
      <c r="O51" s="92"/>
      <c r="P51" s="92"/>
      <c r="Q51" s="92"/>
      <c r="R51" s="92"/>
      <c r="S51" s="92"/>
      <c r="T51" s="92"/>
      <c r="U51" s="92"/>
      <c r="V51" s="92"/>
      <c r="W51" s="92"/>
      <c r="X51" s="92"/>
      <c r="Y51" s="92"/>
      <c r="Z51" s="92"/>
      <c r="AA51" s="92"/>
    </row>
    <row r="52" spans="1:27">
      <c r="A52" s="93"/>
      <c r="B52" s="181" t="s">
        <v>356</v>
      </c>
      <c r="C52" s="182"/>
      <c r="D52" s="182"/>
      <c r="E52" s="182"/>
      <c r="F52" s="182"/>
      <c r="G52" s="182"/>
      <c r="H52" s="182"/>
      <c r="I52" s="182"/>
      <c r="J52" s="182"/>
      <c r="K52" s="182"/>
      <c r="L52" s="183"/>
      <c r="M52" s="42">
        <f>SUM('Section 4. Goods and Services'!$N$14:$N$95)+SUM($M$11:$M$51)</f>
        <v>0</v>
      </c>
      <c r="O52" s="92"/>
      <c r="P52" s="92"/>
      <c r="Q52" s="92"/>
      <c r="R52" s="92"/>
      <c r="S52" s="92"/>
      <c r="T52" s="92"/>
      <c r="U52" s="92"/>
      <c r="V52" s="92"/>
      <c r="W52" s="92"/>
      <c r="X52" s="92"/>
      <c r="Y52" s="92"/>
      <c r="Z52" s="92"/>
      <c r="AA52" s="92"/>
    </row>
    <row r="54" spans="1:27">
      <c r="B54" t="s">
        <v>336</v>
      </c>
    </row>
    <row r="55" spans="1:27">
      <c r="B55" t="s">
        <v>339</v>
      </c>
    </row>
    <row r="56" spans="1:27">
      <c r="B56" t="s">
        <v>340</v>
      </c>
    </row>
    <row r="57" spans="1:27">
      <c r="B57" t="s">
        <v>341</v>
      </c>
    </row>
    <row r="58" spans="1:27">
      <c r="B58" t="s">
        <v>342</v>
      </c>
    </row>
  </sheetData>
  <sheetProtection algorithmName="SHA-512" hashValue="RkPcndXwcqlYJIBilEN2DMtZ08Phhe1TrA2gya7WqZmtI6n0mm/Lm0I97Iz02WVPMj5ZM7jXA4byYV73op/48Q==" saltValue="b49Iaooq9e/rCu4vVwWzbQ==" spinCount="100000" sheet="1" objects="1" scenarios="1"/>
  <mergeCells count="49">
    <mergeCell ref="B5:G5"/>
    <mergeCell ref="B7:E7"/>
    <mergeCell ref="F7:G7"/>
    <mergeCell ref="B6:E6"/>
    <mergeCell ref="F6:G6"/>
    <mergeCell ref="B40:D40"/>
    <mergeCell ref="B41:D41"/>
    <mergeCell ref="B42:D42"/>
    <mergeCell ref="B10:D10"/>
    <mergeCell ref="B22:D22"/>
    <mergeCell ref="B11:D11"/>
    <mergeCell ref="B12:D12"/>
    <mergeCell ref="B13:D13"/>
    <mergeCell ref="B14:D14"/>
    <mergeCell ref="B15:D15"/>
    <mergeCell ref="B16:D16"/>
    <mergeCell ref="B17:D17"/>
    <mergeCell ref="B18:D18"/>
    <mergeCell ref="B19:D19"/>
    <mergeCell ref="B20:D20"/>
    <mergeCell ref="B21:D21"/>
    <mergeCell ref="B34:D34"/>
    <mergeCell ref="B23:D23"/>
    <mergeCell ref="B24:D24"/>
    <mergeCell ref="B25:D25"/>
    <mergeCell ref="B26:D26"/>
    <mergeCell ref="B27:D27"/>
    <mergeCell ref="B28:D28"/>
    <mergeCell ref="B29:D29"/>
    <mergeCell ref="B30:D30"/>
    <mergeCell ref="B31:D31"/>
    <mergeCell ref="B32:D32"/>
    <mergeCell ref="B33:D33"/>
    <mergeCell ref="B51:L51"/>
    <mergeCell ref="B52:L52"/>
    <mergeCell ref="B9:M9"/>
    <mergeCell ref="B47:D47"/>
    <mergeCell ref="B48:D48"/>
    <mergeCell ref="B49:D49"/>
    <mergeCell ref="B50:D50"/>
    <mergeCell ref="B46:D46"/>
    <mergeCell ref="B43:D43"/>
    <mergeCell ref="B44:D44"/>
    <mergeCell ref="B35:D35"/>
    <mergeCell ref="B36:D36"/>
    <mergeCell ref="B37:D37"/>
    <mergeCell ref="B38:D38"/>
    <mergeCell ref="B39:D39"/>
    <mergeCell ref="B45:D45"/>
  </mergeCells>
  <conditionalFormatting sqref="H11:H50">
    <cfRule type="expression" dxfId="1" priority="11">
      <formula>AND(G11="Local")</formula>
    </cfRule>
  </conditionalFormatting>
  <dataValidations count="3">
    <dataValidation type="list" allowBlank="1" showInputMessage="1" showErrorMessage="1" sqref="G11:G50" xr:uid="{F8D43B4A-9584-46FC-A548-2624B95E4643}">
      <formula1>"Local, Foreign"</formula1>
    </dataValidation>
    <dataValidation type="decimal" operator="greaterThanOrEqual" allowBlank="1" showInputMessage="1" showErrorMessage="1" sqref="J11:J50 M11:M50" xr:uid="{AE414001-9C5B-4D49-AC22-D28B7A5F0E09}">
      <formula1>0</formula1>
    </dataValidation>
    <dataValidation type="custom" showInputMessage="1" showErrorMessage="1" sqref="H11:H50" xr:uid="{3520C8FF-BF5A-4041-BA82-B278DEEFA0E9}">
      <formula1>(G11="local")</formula1>
    </dataValidation>
  </dataValidations>
  <pageMargins left="0.7" right="0.7" top="0.75" bottom="0.75" header="0.3" footer="0.3"/>
  <pageSetup paperSize="9" orientation="portrait" r:id="rId1"/>
  <headerFooter>
    <oddHeader>&amp;C&amp;"Times New Roman,Regular"&amp;12&amp;K99CC00Public - عام</oddHeader>
    <evenHeader>&amp;C&amp;"Times New Roman,Regular"&amp;12&amp;K99CC00Public - عام</evenHeader>
    <firstHeader>&amp;C&amp;"Times New Roman,Regular"&amp;12&amp;K99CC00Public - عام</first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924B5AB9-08E6-49D2-9E14-148AC928AC21}">
          <x14:formula1>
            <xm:f>IF(G11="Local",'Appendix B'!$B$28:$B$41,IF(G11="Foreign",'Appendix B'!$B$27,'Appendix B'!$B$42))</xm:f>
          </x14:formula1>
          <xm:sqref>I11:I50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2696A-A26D-44EC-B9C2-2E8E14CE6AD7}">
  <sheetPr>
    <pageSetUpPr autoPageBreaks="0"/>
  </sheetPr>
  <dimension ref="A2:S105"/>
  <sheetViews>
    <sheetView showGridLines="0" zoomScaleNormal="100" workbookViewId="0"/>
  </sheetViews>
  <sheetFormatPr defaultColWidth="8.7109375" defaultRowHeight="14.25"/>
  <cols>
    <col min="1" max="1" width="4.42578125" style="111" customWidth="1"/>
    <col min="2" max="2" width="66.28515625" style="111" customWidth="1"/>
    <col min="3" max="3" width="35.7109375" style="111" customWidth="1"/>
    <col min="4" max="4" width="46.42578125" style="111" bestFit="1" customWidth="1"/>
    <col min="5" max="6" width="25.28515625" style="111" customWidth="1"/>
    <col min="7" max="7" width="26.7109375" style="111" customWidth="1"/>
    <col min="8" max="8" width="43.28515625" style="111" customWidth="1"/>
    <col min="9" max="9" width="39" style="111" customWidth="1"/>
    <col min="10" max="10" width="23" style="111" customWidth="1"/>
    <col min="11" max="11" width="18" style="111" customWidth="1"/>
    <col min="12" max="12" width="15.28515625" style="111" bestFit="1" customWidth="1"/>
    <col min="13" max="13" width="29.7109375" style="111" customWidth="1"/>
    <col min="14" max="14" width="29.140625" style="111" customWidth="1"/>
    <col min="15" max="15" width="21.28515625" style="111" customWidth="1"/>
    <col min="16" max="16" width="23.7109375" style="111" customWidth="1"/>
    <col min="17" max="17" width="8.7109375" style="111"/>
    <col min="18" max="18" width="25" style="111" customWidth="1"/>
    <col min="19" max="19" width="33" style="111" bestFit="1" customWidth="1"/>
    <col min="20" max="16384" width="8.7109375" style="111"/>
  </cols>
  <sheetData>
    <row r="2" spans="1:19" ht="18.75">
      <c r="B2" s="129" t="s">
        <v>277</v>
      </c>
    </row>
    <row r="3" spans="1:19" ht="14.65" customHeight="1">
      <c r="B3" s="113"/>
      <c r="C3" s="112"/>
      <c r="D3" s="112"/>
      <c r="E3" s="112"/>
      <c r="F3" s="112"/>
      <c r="G3" s="112"/>
      <c r="H3" s="112"/>
      <c r="I3" s="112"/>
      <c r="J3" s="112"/>
      <c r="K3" s="112"/>
      <c r="L3" s="112"/>
      <c r="M3" s="112"/>
    </row>
    <row r="4" spans="1:19" ht="19.350000000000001" customHeight="1">
      <c r="B4" s="271" t="s">
        <v>244</v>
      </c>
      <c r="C4" s="271"/>
      <c r="D4" s="112"/>
      <c r="E4" s="112"/>
      <c r="F4" s="112"/>
      <c r="G4" s="112"/>
      <c r="H4" s="112"/>
      <c r="I4" s="112"/>
      <c r="J4" s="112"/>
      <c r="K4" s="112"/>
      <c r="L4" s="112"/>
      <c r="M4" s="112"/>
      <c r="N4" s="111" t="s">
        <v>142</v>
      </c>
      <c r="O4" s="111" t="s">
        <v>142</v>
      </c>
    </row>
    <row r="5" spans="1:19" ht="18" customHeight="1">
      <c r="B5" s="161" t="s">
        <v>343</v>
      </c>
      <c r="C5" s="114">
        <v>0</v>
      </c>
      <c r="D5" s="273" t="str">
        <f>IF(C5&gt;=100000000,"Must disclose the additions of capital expenditures in table 5.2","")</f>
        <v/>
      </c>
      <c r="E5" s="274"/>
      <c r="F5" s="112"/>
      <c r="G5" s="112"/>
      <c r="H5" s="112"/>
      <c r="I5" s="112"/>
      <c r="J5" s="112"/>
      <c r="K5" s="112"/>
      <c r="L5" s="112"/>
      <c r="M5" s="112"/>
    </row>
    <row r="6" spans="1:19" ht="18" customHeight="1">
      <c r="B6" s="130" t="s">
        <v>245</v>
      </c>
      <c r="C6" s="115">
        <f>N94</f>
        <v>0</v>
      </c>
      <c r="D6" s="112"/>
      <c r="E6" s="112"/>
      <c r="F6" s="112"/>
      <c r="G6" s="112"/>
      <c r="H6" s="112"/>
      <c r="I6" s="112"/>
      <c r="J6" s="112"/>
      <c r="K6" s="112"/>
      <c r="L6" s="112"/>
      <c r="M6" s="112"/>
    </row>
    <row r="7" spans="1:19" ht="15">
      <c r="B7" s="130" t="s">
        <v>143</v>
      </c>
      <c r="C7" s="116">
        <f>IFERROR(C6/(C5-M92),0)</f>
        <v>0</v>
      </c>
      <c r="D7" s="112"/>
      <c r="E7" s="112"/>
      <c r="F7" s="112"/>
      <c r="G7" s="112"/>
      <c r="H7" s="112"/>
      <c r="I7" s="112"/>
      <c r="J7" s="112"/>
      <c r="K7" s="112"/>
      <c r="L7" s="112"/>
      <c r="M7" s="112"/>
    </row>
    <row r="8" spans="1:19">
      <c r="B8" s="117"/>
      <c r="C8" s="118"/>
      <c r="D8" s="112"/>
      <c r="E8" s="112"/>
      <c r="F8" s="112"/>
      <c r="G8" s="112"/>
      <c r="H8" s="112"/>
      <c r="I8" s="112"/>
      <c r="J8" s="112"/>
      <c r="K8" s="112"/>
      <c r="L8" s="112"/>
      <c r="M8" s="112"/>
    </row>
    <row r="9" spans="1:19" ht="15.75">
      <c r="B9" s="272" t="s">
        <v>246</v>
      </c>
      <c r="C9" s="272"/>
      <c r="D9" s="272"/>
      <c r="E9" s="272"/>
      <c r="F9" s="272"/>
      <c r="G9" s="272"/>
      <c r="H9" s="272"/>
      <c r="I9" s="272"/>
      <c r="J9" s="272"/>
      <c r="K9" s="272"/>
      <c r="L9" s="272"/>
      <c r="M9" s="272"/>
      <c r="N9" s="272"/>
    </row>
    <row r="10" spans="1:19" ht="55.5" customHeight="1">
      <c r="B10" s="24" t="s">
        <v>346</v>
      </c>
      <c r="C10" s="24" t="s">
        <v>175</v>
      </c>
      <c r="D10" s="24" t="s">
        <v>176</v>
      </c>
      <c r="E10" s="24" t="s">
        <v>347</v>
      </c>
      <c r="F10" s="24" t="s">
        <v>32</v>
      </c>
      <c r="G10" s="24" t="s">
        <v>33</v>
      </c>
      <c r="H10" s="24" t="s">
        <v>269</v>
      </c>
      <c r="I10" s="24" t="s">
        <v>240</v>
      </c>
      <c r="J10" s="24" t="s">
        <v>350</v>
      </c>
      <c r="K10" s="24" t="s">
        <v>177</v>
      </c>
      <c r="L10" s="24" t="s">
        <v>34</v>
      </c>
      <c r="M10" s="24" t="s">
        <v>349</v>
      </c>
      <c r="N10" s="24" t="s">
        <v>241</v>
      </c>
    </row>
    <row r="11" spans="1:19" ht="19.5" customHeight="1">
      <c r="A11" s="119">
        <v>1</v>
      </c>
      <c r="B11" s="120"/>
      <c r="C11" s="120"/>
      <c r="D11" s="121"/>
      <c r="E11" s="121"/>
      <c r="F11" s="122"/>
      <c r="G11" s="122"/>
      <c r="H11" s="146"/>
      <c r="I11" s="122"/>
      <c r="J11" s="154"/>
      <c r="K11" s="153">
        <f>IFERROR(INDEX('Appendix B'!$C$5:$C$42,MATCH('Section 5. CAPEX'!I11,'Appendix B'!$B$5:$B$42,0)),0)</f>
        <v>0</v>
      </c>
      <c r="L11" s="153">
        <f t="shared" ref="L11:L42" si="0">IF(J11&lt;=0,K11,J11)</f>
        <v>0</v>
      </c>
      <c r="M11" s="123">
        <v>0</v>
      </c>
      <c r="N11" s="124">
        <f t="shared" ref="N11:N42" si="1">M11*L11</f>
        <v>0</v>
      </c>
    </row>
    <row r="12" spans="1:19" ht="19.5" customHeight="1">
      <c r="A12" s="119">
        <v>2</v>
      </c>
      <c r="B12" s="120"/>
      <c r="C12" s="120"/>
      <c r="D12" s="121"/>
      <c r="E12" s="121"/>
      <c r="F12" s="122"/>
      <c r="G12" s="122"/>
      <c r="H12" s="146"/>
      <c r="I12" s="122"/>
      <c r="J12" s="154"/>
      <c r="K12" s="153">
        <f>IFERROR(INDEX('Appendix B'!$C$5:$C$42,MATCH('Section 5. CAPEX'!I12,'Appendix B'!$B$5:$B$42,0)),0)</f>
        <v>0</v>
      </c>
      <c r="L12" s="153">
        <f t="shared" si="0"/>
        <v>0</v>
      </c>
      <c r="M12" s="123">
        <v>0</v>
      </c>
      <c r="N12" s="124">
        <f t="shared" si="1"/>
        <v>0</v>
      </c>
      <c r="Q12" s="125"/>
      <c r="R12" s="125"/>
    </row>
    <row r="13" spans="1:19" ht="19.5" customHeight="1">
      <c r="A13" s="119">
        <v>3</v>
      </c>
      <c r="B13" s="120"/>
      <c r="C13" s="120"/>
      <c r="D13" s="121"/>
      <c r="E13" s="121"/>
      <c r="F13" s="122"/>
      <c r="G13" s="122"/>
      <c r="H13" s="146"/>
      <c r="I13" s="122"/>
      <c r="J13" s="154"/>
      <c r="K13" s="153">
        <f>IFERROR(INDEX('Appendix B'!$C$5:$C$42,MATCH('Section 5. CAPEX'!I13,'Appendix B'!$B$5:$B$42,0)),0)</f>
        <v>0</v>
      </c>
      <c r="L13" s="153">
        <f t="shared" si="0"/>
        <v>0</v>
      </c>
      <c r="M13" s="123">
        <v>0</v>
      </c>
      <c r="N13" s="124">
        <f t="shared" si="1"/>
        <v>0</v>
      </c>
      <c r="Q13" s="125"/>
      <c r="R13" s="125"/>
    </row>
    <row r="14" spans="1:19" ht="19.5" customHeight="1">
      <c r="A14" s="119">
        <v>4</v>
      </c>
      <c r="B14" s="120"/>
      <c r="C14" s="120"/>
      <c r="D14" s="121"/>
      <c r="E14" s="121"/>
      <c r="F14" s="122"/>
      <c r="G14" s="122"/>
      <c r="H14" s="146"/>
      <c r="I14" s="122"/>
      <c r="J14" s="154"/>
      <c r="K14" s="153">
        <f>IFERROR(INDEX('Appendix B'!$C$5:$C$42,MATCH('Section 5. CAPEX'!I14,'Appendix B'!$B$5:$B$42,0)),0)</f>
        <v>0</v>
      </c>
      <c r="L14" s="153">
        <f t="shared" si="0"/>
        <v>0</v>
      </c>
      <c r="M14" s="123">
        <v>0</v>
      </c>
      <c r="N14" s="124">
        <f t="shared" si="1"/>
        <v>0</v>
      </c>
      <c r="Q14" s="125"/>
      <c r="R14" s="125"/>
      <c r="S14" s="126" t="s">
        <v>146</v>
      </c>
    </row>
    <row r="15" spans="1:19" ht="19.5" customHeight="1">
      <c r="A15" s="119">
        <v>5</v>
      </c>
      <c r="B15" s="120"/>
      <c r="C15" s="120"/>
      <c r="D15" s="121"/>
      <c r="E15" s="121"/>
      <c r="F15" s="122"/>
      <c r="G15" s="122"/>
      <c r="H15" s="146"/>
      <c r="I15" s="122"/>
      <c r="J15" s="154"/>
      <c r="K15" s="153">
        <f>IFERROR(INDEX('Appendix B'!$C$5:$C$42,MATCH('Section 5. CAPEX'!I15,'Appendix B'!$B$5:$B$42,0)),0)</f>
        <v>0</v>
      </c>
      <c r="L15" s="153">
        <f t="shared" si="0"/>
        <v>0</v>
      </c>
      <c r="M15" s="123">
        <v>0</v>
      </c>
      <c r="N15" s="124">
        <f t="shared" si="1"/>
        <v>0</v>
      </c>
      <c r="Q15" s="125"/>
      <c r="R15" s="125"/>
      <c r="S15" s="126" t="s">
        <v>147</v>
      </c>
    </row>
    <row r="16" spans="1:19" ht="19.5" customHeight="1">
      <c r="A16" s="119">
        <v>6</v>
      </c>
      <c r="B16" s="120"/>
      <c r="C16" s="120"/>
      <c r="D16" s="121"/>
      <c r="E16" s="121"/>
      <c r="F16" s="122"/>
      <c r="G16" s="122"/>
      <c r="H16" s="146"/>
      <c r="I16" s="122"/>
      <c r="J16" s="154"/>
      <c r="K16" s="153">
        <f>IFERROR(INDEX('Appendix B'!$C$5:$C$42,MATCH('Section 5. CAPEX'!I16,'Appendix B'!$B$5:$B$42,0)),0)</f>
        <v>0</v>
      </c>
      <c r="L16" s="153">
        <f t="shared" si="0"/>
        <v>0</v>
      </c>
      <c r="M16" s="123">
        <v>0</v>
      </c>
      <c r="N16" s="124">
        <f t="shared" si="1"/>
        <v>0</v>
      </c>
      <c r="Q16" s="125"/>
      <c r="R16" s="125"/>
      <c r="S16" s="126" t="s">
        <v>148</v>
      </c>
    </row>
    <row r="17" spans="1:19" ht="19.5" customHeight="1">
      <c r="A17" s="119">
        <v>7</v>
      </c>
      <c r="B17" s="120"/>
      <c r="C17" s="120"/>
      <c r="D17" s="121"/>
      <c r="E17" s="121"/>
      <c r="F17" s="122"/>
      <c r="G17" s="122"/>
      <c r="H17" s="146"/>
      <c r="I17" s="122"/>
      <c r="J17" s="154"/>
      <c r="K17" s="153">
        <f>IFERROR(INDEX('Appendix B'!$C$5:$C$42,MATCH('Section 5. CAPEX'!I17,'Appendix B'!$B$5:$B$42,0)),0)</f>
        <v>0</v>
      </c>
      <c r="L17" s="153">
        <f t="shared" si="0"/>
        <v>0</v>
      </c>
      <c r="M17" s="123">
        <v>0</v>
      </c>
      <c r="N17" s="124">
        <f t="shared" si="1"/>
        <v>0</v>
      </c>
      <c r="Q17" s="125"/>
      <c r="R17" s="125"/>
      <c r="S17" s="126" t="s">
        <v>149</v>
      </c>
    </row>
    <row r="18" spans="1:19" ht="19.5" customHeight="1">
      <c r="A18" s="119">
        <v>8</v>
      </c>
      <c r="B18" s="120"/>
      <c r="C18" s="120"/>
      <c r="D18" s="121"/>
      <c r="E18" s="121"/>
      <c r="F18" s="122"/>
      <c r="G18" s="122"/>
      <c r="H18" s="146"/>
      <c r="I18" s="122"/>
      <c r="J18" s="154"/>
      <c r="K18" s="153">
        <f>IFERROR(INDEX('Appendix B'!$C$5:$C$42,MATCH('Section 5. CAPEX'!I18,'Appendix B'!$B$5:$B$42,0)),0)</f>
        <v>0</v>
      </c>
      <c r="L18" s="153">
        <f t="shared" si="0"/>
        <v>0</v>
      </c>
      <c r="M18" s="123">
        <v>0</v>
      </c>
      <c r="N18" s="124">
        <f t="shared" si="1"/>
        <v>0</v>
      </c>
      <c r="Q18" s="125"/>
      <c r="R18" s="125"/>
      <c r="S18" s="126" t="s">
        <v>150</v>
      </c>
    </row>
    <row r="19" spans="1:19" ht="19.5" customHeight="1">
      <c r="A19" s="119">
        <v>9</v>
      </c>
      <c r="B19" s="120"/>
      <c r="C19" s="120"/>
      <c r="D19" s="121"/>
      <c r="E19" s="121"/>
      <c r="F19" s="122"/>
      <c r="G19" s="122"/>
      <c r="H19" s="146"/>
      <c r="I19" s="122"/>
      <c r="J19" s="154"/>
      <c r="K19" s="153">
        <f>IFERROR(INDEX('Appendix B'!$C$5:$C$42,MATCH('Section 5. CAPEX'!I19,'Appendix B'!$B$5:$B$42,0)),0)</f>
        <v>0</v>
      </c>
      <c r="L19" s="153">
        <f t="shared" si="0"/>
        <v>0</v>
      </c>
      <c r="M19" s="123">
        <v>0</v>
      </c>
      <c r="N19" s="124">
        <f t="shared" si="1"/>
        <v>0</v>
      </c>
      <c r="Q19" s="125"/>
      <c r="R19" s="125"/>
      <c r="S19" s="126" t="s">
        <v>151</v>
      </c>
    </row>
    <row r="20" spans="1:19" ht="19.5" customHeight="1">
      <c r="A20" s="119">
        <v>10</v>
      </c>
      <c r="B20" s="120"/>
      <c r="C20" s="120"/>
      <c r="D20" s="120"/>
      <c r="E20" s="120"/>
      <c r="F20" s="122"/>
      <c r="G20" s="122"/>
      <c r="H20" s="146"/>
      <c r="I20" s="122"/>
      <c r="J20" s="154"/>
      <c r="K20" s="153">
        <f>IFERROR(INDEX('Appendix B'!$C$5:$C$42,MATCH('Section 5. CAPEX'!I20,'Appendix B'!$B$5:$B$42,0)),0)</f>
        <v>0</v>
      </c>
      <c r="L20" s="153">
        <f t="shared" si="0"/>
        <v>0</v>
      </c>
      <c r="M20" s="123">
        <v>0</v>
      </c>
      <c r="N20" s="124">
        <f t="shared" si="1"/>
        <v>0</v>
      </c>
      <c r="Q20" s="125"/>
      <c r="R20" s="125"/>
      <c r="S20" s="126" t="s">
        <v>152</v>
      </c>
    </row>
    <row r="21" spans="1:19" ht="19.5" customHeight="1">
      <c r="A21" s="119">
        <v>11</v>
      </c>
      <c r="B21" s="120"/>
      <c r="C21" s="120"/>
      <c r="D21" s="120"/>
      <c r="E21" s="120"/>
      <c r="F21" s="122"/>
      <c r="G21" s="122"/>
      <c r="H21" s="146"/>
      <c r="I21" s="122"/>
      <c r="J21" s="154"/>
      <c r="K21" s="153">
        <f>IFERROR(INDEX('Appendix B'!$C$5:$C$42,MATCH('Section 5. CAPEX'!I21,'Appendix B'!$B$5:$B$42,0)),0)</f>
        <v>0</v>
      </c>
      <c r="L21" s="153">
        <f t="shared" si="0"/>
        <v>0</v>
      </c>
      <c r="M21" s="123">
        <v>0</v>
      </c>
      <c r="N21" s="124">
        <f t="shared" si="1"/>
        <v>0</v>
      </c>
      <c r="Q21" s="125"/>
      <c r="R21" s="125"/>
      <c r="S21" s="126" t="s">
        <v>153</v>
      </c>
    </row>
    <row r="22" spans="1:19" ht="19.5" customHeight="1">
      <c r="A22" s="119">
        <v>12</v>
      </c>
      <c r="B22" s="120"/>
      <c r="C22" s="120"/>
      <c r="D22" s="120"/>
      <c r="E22" s="120"/>
      <c r="F22" s="122"/>
      <c r="G22" s="122"/>
      <c r="H22" s="146"/>
      <c r="I22" s="122"/>
      <c r="J22" s="154"/>
      <c r="K22" s="153">
        <f>IFERROR(INDEX('Appendix B'!$C$5:$C$42,MATCH('Section 5. CAPEX'!I22,'Appendix B'!$B$5:$B$42,0)),0)</f>
        <v>0</v>
      </c>
      <c r="L22" s="153">
        <f t="shared" si="0"/>
        <v>0</v>
      </c>
      <c r="M22" s="123">
        <v>0</v>
      </c>
      <c r="N22" s="124">
        <f t="shared" si="1"/>
        <v>0</v>
      </c>
      <c r="Q22" s="125"/>
      <c r="R22" s="125"/>
      <c r="S22" s="126" t="s">
        <v>154</v>
      </c>
    </row>
    <row r="23" spans="1:19" ht="19.5" customHeight="1">
      <c r="A23" s="119">
        <v>13</v>
      </c>
      <c r="B23" s="120"/>
      <c r="C23" s="120"/>
      <c r="D23" s="120"/>
      <c r="E23" s="120"/>
      <c r="F23" s="122"/>
      <c r="G23" s="122"/>
      <c r="H23" s="146"/>
      <c r="I23" s="122"/>
      <c r="J23" s="154"/>
      <c r="K23" s="153">
        <f>IFERROR(INDEX('Appendix B'!$C$5:$C$42,MATCH('Section 5. CAPEX'!I23,'Appendix B'!$B$5:$B$42,0)),0)</f>
        <v>0</v>
      </c>
      <c r="L23" s="153">
        <f t="shared" si="0"/>
        <v>0</v>
      </c>
      <c r="M23" s="123">
        <v>0</v>
      </c>
      <c r="N23" s="124">
        <f t="shared" si="1"/>
        <v>0</v>
      </c>
      <c r="Q23" s="125"/>
      <c r="R23" s="125"/>
      <c r="S23" s="126" t="s">
        <v>155</v>
      </c>
    </row>
    <row r="24" spans="1:19" ht="19.5" customHeight="1">
      <c r="A24" s="119">
        <v>14</v>
      </c>
      <c r="B24" s="120"/>
      <c r="C24" s="120"/>
      <c r="D24" s="120"/>
      <c r="E24" s="120"/>
      <c r="F24" s="122"/>
      <c r="G24" s="122"/>
      <c r="H24" s="146"/>
      <c r="I24" s="122"/>
      <c r="J24" s="154"/>
      <c r="K24" s="153">
        <f>IFERROR(INDEX('Appendix B'!$C$5:$C$42,MATCH('Section 5. CAPEX'!I24,'Appendix B'!$B$5:$B$42,0)),0)</f>
        <v>0</v>
      </c>
      <c r="L24" s="153">
        <f t="shared" si="0"/>
        <v>0</v>
      </c>
      <c r="M24" s="123">
        <v>0</v>
      </c>
      <c r="N24" s="124">
        <f t="shared" si="1"/>
        <v>0</v>
      </c>
      <c r="Q24" s="125"/>
      <c r="R24" s="125"/>
      <c r="S24" s="126" t="s">
        <v>39</v>
      </c>
    </row>
    <row r="25" spans="1:19" ht="19.5" customHeight="1">
      <c r="A25" s="119">
        <v>15</v>
      </c>
      <c r="B25" s="120"/>
      <c r="C25" s="120"/>
      <c r="D25" s="120"/>
      <c r="E25" s="120"/>
      <c r="F25" s="122"/>
      <c r="G25" s="122"/>
      <c r="H25" s="146"/>
      <c r="I25" s="122"/>
      <c r="J25" s="154"/>
      <c r="K25" s="153">
        <f>IFERROR(INDEX('Appendix B'!$C$5:$C$42,MATCH('Section 5. CAPEX'!I25,'Appendix B'!$B$5:$B$42,0)),0)</f>
        <v>0</v>
      </c>
      <c r="L25" s="153">
        <f t="shared" si="0"/>
        <v>0</v>
      </c>
      <c r="M25" s="123">
        <v>0</v>
      </c>
      <c r="N25" s="124">
        <f t="shared" si="1"/>
        <v>0</v>
      </c>
    </row>
    <row r="26" spans="1:19" ht="19.5" customHeight="1">
      <c r="A26" s="119">
        <v>16</v>
      </c>
      <c r="B26" s="120"/>
      <c r="C26" s="120"/>
      <c r="D26" s="120"/>
      <c r="E26" s="120"/>
      <c r="F26" s="122"/>
      <c r="G26" s="122"/>
      <c r="H26" s="146"/>
      <c r="I26" s="122"/>
      <c r="J26" s="154"/>
      <c r="K26" s="153">
        <f>IFERROR(INDEX('Appendix B'!$C$5:$C$42,MATCH('Section 5. CAPEX'!I26,'Appendix B'!$B$5:$B$42,0)),0)</f>
        <v>0</v>
      </c>
      <c r="L26" s="153">
        <f t="shared" si="0"/>
        <v>0</v>
      </c>
      <c r="M26" s="123">
        <v>0</v>
      </c>
      <c r="N26" s="124">
        <f t="shared" si="1"/>
        <v>0</v>
      </c>
    </row>
    <row r="27" spans="1:19" ht="19.5" customHeight="1">
      <c r="A27" s="119">
        <v>17</v>
      </c>
      <c r="B27" s="120"/>
      <c r="C27" s="120"/>
      <c r="D27" s="120"/>
      <c r="E27" s="120"/>
      <c r="F27" s="122"/>
      <c r="G27" s="122"/>
      <c r="H27" s="146"/>
      <c r="I27" s="122"/>
      <c r="J27" s="154"/>
      <c r="K27" s="153">
        <f>IFERROR(INDEX('Appendix B'!$C$5:$C$42,MATCH('Section 5. CAPEX'!I27,'Appendix B'!$B$5:$B$42,0)),0)</f>
        <v>0</v>
      </c>
      <c r="L27" s="153">
        <f t="shared" si="0"/>
        <v>0</v>
      </c>
      <c r="M27" s="123">
        <v>0</v>
      </c>
      <c r="N27" s="124">
        <f t="shared" si="1"/>
        <v>0</v>
      </c>
    </row>
    <row r="28" spans="1:19" ht="19.5" customHeight="1">
      <c r="A28" s="119">
        <v>18</v>
      </c>
      <c r="B28" s="120"/>
      <c r="C28" s="120"/>
      <c r="D28" s="120"/>
      <c r="E28" s="120"/>
      <c r="F28" s="122"/>
      <c r="G28" s="122"/>
      <c r="H28" s="146"/>
      <c r="I28" s="122"/>
      <c r="J28" s="154"/>
      <c r="K28" s="153">
        <f>IFERROR(INDEX('Appendix B'!$C$5:$C$42,MATCH('Section 5. CAPEX'!I28,'Appendix B'!$B$5:$B$42,0)),0)</f>
        <v>0</v>
      </c>
      <c r="L28" s="153">
        <f t="shared" si="0"/>
        <v>0</v>
      </c>
      <c r="M28" s="123">
        <v>0</v>
      </c>
      <c r="N28" s="124">
        <f t="shared" si="1"/>
        <v>0</v>
      </c>
    </row>
    <row r="29" spans="1:19" ht="19.5" customHeight="1">
      <c r="A29" s="119">
        <v>19</v>
      </c>
      <c r="B29" s="120"/>
      <c r="C29" s="120"/>
      <c r="D29" s="120"/>
      <c r="E29" s="120"/>
      <c r="F29" s="122"/>
      <c r="G29" s="122"/>
      <c r="H29" s="146"/>
      <c r="I29" s="122"/>
      <c r="J29" s="154"/>
      <c r="K29" s="153">
        <f>IFERROR(INDEX('Appendix B'!$C$5:$C$42,MATCH('Section 5. CAPEX'!I29,'Appendix B'!$B$5:$B$42,0)),0)</f>
        <v>0</v>
      </c>
      <c r="L29" s="153">
        <f t="shared" si="0"/>
        <v>0</v>
      </c>
      <c r="M29" s="123">
        <v>0</v>
      </c>
      <c r="N29" s="124">
        <f t="shared" si="1"/>
        <v>0</v>
      </c>
    </row>
    <row r="30" spans="1:19" ht="19.5" customHeight="1">
      <c r="A30" s="119">
        <v>20</v>
      </c>
      <c r="B30" s="120"/>
      <c r="C30" s="120"/>
      <c r="D30" s="120"/>
      <c r="E30" s="120"/>
      <c r="F30" s="122"/>
      <c r="G30" s="122"/>
      <c r="H30" s="146"/>
      <c r="I30" s="122"/>
      <c r="J30" s="154"/>
      <c r="K30" s="153">
        <f>IFERROR(INDEX('Appendix B'!$C$5:$C$42,MATCH('Section 5. CAPEX'!I30,'Appendix B'!$B$5:$B$42,0)),0)</f>
        <v>0</v>
      </c>
      <c r="L30" s="153">
        <f t="shared" si="0"/>
        <v>0</v>
      </c>
      <c r="M30" s="123">
        <v>0</v>
      </c>
      <c r="N30" s="124">
        <f t="shared" si="1"/>
        <v>0</v>
      </c>
    </row>
    <row r="31" spans="1:19" ht="19.5" customHeight="1">
      <c r="A31" s="119">
        <v>21</v>
      </c>
      <c r="B31" s="120"/>
      <c r="C31" s="120"/>
      <c r="D31" s="120"/>
      <c r="E31" s="120"/>
      <c r="F31" s="122"/>
      <c r="G31" s="122"/>
      <c r="H31" s="146"/>
      <c r="I31" s="122"/>
      <c r="J31" s="154"/>
      <c r="K31" s="153">
        <f>IFERROR(INDEX('Appendix B'!$C$5:$C$42,MATCH('Section 5. CAPEX'!I31,'Appendix B'!$B$5:$B$42,0)),0)</f>
        <v>0</v>
      </c>
      <c r="L31" s="153">
        <f t="shared" si="0"/>
        <v>0</v>
      </c>
      <c r="M31" s="123">
        <v>0</v>
      </c>
      <c r="N31" s="124">
        <f t="shared" si="1"/>
        <v>0</v>
      </c>
    </row>
    <row r="32" spans="1:19" ht="19.5" customHeight="1">
      <c r="A32" s="119">
        <v>22</v>
      </c>
      <c r="B32" s="120"/>
      <c r="C32" s="120"/>
      <c r="D32" s="120"/>
      <c r="E32" s="120"/>
      <c r="F32" s="122"/>
      <c r="G32" s="122"/>
      <c r="H32" s="146"/>
      <c r="I32" s="122"/>
      <c r="J32" s="154"/>
      <c r="K32" s="153">
        <f>IFERROR(INDEX('Appendix B'!$C$5:$C$42,MATCH('Section 5. CAPEX'!I32,'Appendix B'!$B$5:$B$42,0)),0)</f>
        <v>0</v>
      </c>
      <c r="L32" s="153">
        <f t="shared" si="0"/>
        <v>0</v>
      </c>
      <c r="M32" s="123">
        <v>0</v>
      </c>
      <c r="N32" s="124">
        <f t="shared" si="1"/>
        <v>0</v>
      </c>
    </row>
    <row r="33" spans="1:14" ht="19.5" customHeight="1">
      <c r="A33" s="119">
        <v>23</v>
      </c>
      <c r="B33" s="120"/>
      <c r="C33" s="120"/>
      <c r="D33" s="120"/>
      <c r="E33" s="120"/>
      <c r="F33" s="122"/>
      <c r="G33" s="122"/>
      <c r="H33" s="146"/>
      <c r="I33" s="122"/>
      <c r="J33" s="154"/>
      <c r="K33" s="153">
        <f>IFERROR(INDEX('Appendix B'!$C$5:$C$42,MATCH('Section 5. CAPEX'!I33,'Appendix B'!$B$5:$B$42,0)),0)</f>
        <v>0</v>
      </c>
      <c r="L33" s="153">
        <f t="shared" si="0"/>
        <v>0</v>
      </c>
      <c r="M33" s="123">
        <v>0</v>
      </c>
      <c r="N33" s="124">
        <f t="shared" si="1"/>
        <v>0</v>
      </c>
    </row>
    <row r="34" spans="1:14" ht="19.5" customHeight="1">
      <c r="A34" s="119">
        <v>24</v>
      </c>
      <c r="B34" s="120"/>
      <c r="C34" s="120"/>
      <c r="D34" s="120"/>
      <c r="E34" s="120"/>
      <c r="F34" s="122"/>
      <c r="G34" s="122"/>
      <c r="H34" s="146"/>
      <c r="I34" s="122"/>
      <c r="J34" s="154"/>
      <c r="K34" s="153">
        <f>IFERROR(INDEX('Appendix B'!$C$5:$C$42,MATCH('Section 5. CAPEX'!I34,'Appendix B'!$B$5:$B$42,0)),0)</f>
        <v>0</v>
      </c>
      <c r="L34" s="153">
        <f t="shared" si="0"/>
        <v>0</v>
      </c>
      <c r="M34" s="123">
        <v>0</v>
      </c>
      <c r="N34" s="124">
        <f t="shared" si="1"/>
        <v>0</v>
      </c>
    </row>
    <row r="35" spans="1:14" ht="19.5" customHeight="1">
      <c r="A35" s="119">
        <v>25</v>
      </c>
      <c r="B35" s="120"/>
      <c r="C35" s="120"/>
      <c r="D35" s="120"/>
      <c r="E35" s="120"/>
      <c r="F35" s="122"/>
      <c r="G35" s="122"/>
      <c r="H35" s="146"/>
      <c r="I35" s="122"/>
      <c r="J35" s="154"/>
      <c r="K35" s="153">
        <f>IFERROR(INDEX('Appendix B'!$C$5:$C$42,MATCH('Section 5. CAPEX'!I35,'Appendix B'!$B$5:$B$42,0)),0)</f>
        <v>0</v>
      </c>
      <c r="L35" s="153">
        <f t="shared" si="0"/>
        <v>0</v>
      </c>
      <c r="M35" s="123">
        <v>0</v>
      </c>
      <c r="N35" s="124">
        <f t="shared" si="1"/>
        <v>0</v>
      </c>
    </row>
    <row r="36" spans="1:14" ht="19.5" customHeight="1">
      <c r="A36" s="119">
        <v>26</v>
      </c>
      <c r="B36" s="120"/>
      <c r="C36" s="120"/>
      <c r="D36" s="120"/>
      <c r="E36" s="120"/>
      <c r="F36" s="122"/>
      <c r="G36" s="122"/>
      <c r="H36" s="146"/>
      <c r="I36" s="122"/>
      <c r="J36" s="154"/>
      <c r="K36" s="153">
        <f>IFERROR(INDEX('Appendix B'!$C$5:$C$42,MATCH('Section 5. CAPEX'!I36,'Appendix B'!$B$5:$B$42,0)),0)</f>
        <v>0</v>
      </c>
      <c r="L36" s="153">
        <f t="shared" si="0"/>
        <v>0</v>
      </c>
      <c r="M36" s="123">
        <v>0</v>
      </c>
      <c r="N36" s="124">
        <f t="shared" si="1"/>
        <v>0</v>
      </c>
    </row>
    <row r="37" spans="1:14" ht="19.5" customHeight="1">
      <c r="A37" s="119">
        <v>27</v>
      </c>
      <c r="B37" s="120"/>
      <c r="C37" s="120"/>
      <c r="D37" s="120"/>
      <c r="E37" s="120"/>
      <c r="F37" s="122"/>
      <c r="G37" s="122"/>
      <c r="H37" s="146"/>
      <c r="I37" s="122"/>
      <c r="J37" s="154"/>
      <c r="K37" s="153">
        <f>IFERROR(INDEX('Appendix B'!$C$5:$C$42,MATCH('Section 5. CAPEX'!I37,'Appendix B'!$B$5:$B$42,0)),0)</f>
        <v>0</v>
      </c>
      <c r="L37" s="153">
        <f t="shared" si="0"/>
        <v>0</v>
      </c>
      <c r="M37" s="123">
        <v>0</v>
      </c>
      <c r="N37" s="124">
        <f t="shared" si="1"/>
        <v>0</v>
      </c>
    </row>
    <row r="38" spans="1:14" ht="19.5" customHeight="1">
      <c r="A38" s="119">
        <v>28</v>
      </c>
      <c r="B38" s="120"/>
      <c r="C38" s="120"/>
      <c r="D38" s="120"/>
      <c r="E38" s="120"/>
      <c r="F38" s="122"/>
      <c r="G38" s="122"/>
      <c r="H38" s="146"/>
      <c r="I38" s="122"/>
      <c r="J38" s="154"/>
      <c r="K38" s="153">
        <f>IFERROR(INDEX('Appendix B'!$C$5:$C$42,MATCH('Section 5. CAPEX'!I38,'Appendix B'!$B$5:$B$42,0)),0)</f>
        <v>0</v>
      </c>
      <c r="L38" s="153">
        <f t="shared" si="0"/>
        <v>0</v>
      </c>
      <c r="M38" s="123">
        <v>0</v>
      </c>
      <c r="N38" s="124">
        <f t="shared" si="1"/>
        <v>0</v>
      </c>
    </row>
    <row r="39" spans="1:14" ht="19.5" customHeight="1">
      <c r="A39" s="119">
        <v>29</v>
      </c>
      <c r="B39" s="120"/>
      <c r="C39" s="120"/>
      <c r="D39" s="120"/>
      <c r="E39" s="120"/>
      <c r="F39" s="122"/>
      <c r="G39" s="122"/>
      <c r="H39" s="146"/>
      <c r="I39" s="122"/>
      <c r="J39" s="154"/>
      <c r="K39" s="153">
        <f>IFERROR(INDEX('Appendix B'!$C$5:$C$42,MATCH('Section 5. CAPEX'!I39,'Appendix B'!$B$5:$B$42,0)),0)</f>
        <v>0</v>
      </c>
      <c r="L39" s="153">
        <f t="shared" si="0"/>
        <v>0</v>
      </c>
      <c r="M39" s="123">
        <v>0</v>
      </c>
      <c r="N39" s="124">
        <f t="shared" si="1"/>
        <v>0</v>
      </c>
    </row>
    <row r="40" spans="1:14" ht="19.5" customHeight="1">
      <c r="A40" s="119">
        <v>30</v>
      </c>
      <c r="B40" s="120"/>
      <c r="C40" s="120"/>
      <c r="D40" s="120"/>
      <c r="E40" s="120"/>
      <c r="F40" s="122"/>
      <c r="G40" s="122"/>
      <c r="H40" s="146"/>
      <c r="I40" s="122"/>
      <c r="J40" s="154"/>
      <c r="K40" s="153">
        <f>IFERROR(INDEX('Appendix B'!$C$5:$C$42,MATCH('Section 5. CAPEX'!I40,'Appendix B'!$B$5:$B$42,0)),0)</f>
        <v>0</v>
      </c>
      <c r="L40" s="153">
        <f t="shared" si="0"/>
        <v>0</v>
      </c>
      <c r="M40" s="123">
        <v>0</v>
      </c>
      <c r="N40" s="124">
        <f t="shared" si="1"/>
        <v>0</v>
      </c>
    </row>
    <row r="41" spans="1:14" ht="19.5" customHeight="1">
      <c r="A41" s="119">
        <v>31</v>
      </c>
      <c r="B41" s="120"/>
      <c r="C41" s="120"/>
      <c r="D41" s="120"/>
      <c r="E41" s="120"/>
      <c r="F41" s="122"/>
      <c r="G41" s="122"/>
      <c r="H41" s="146"/>
      <c r="I41" s="122"/>
      <c r="J41" s="154"/>
      <c r="K41" s="153">
        <f>IFERROR(INDEX('Appendix B'!$C$5:$C$42,MATCH('Section 5. CAPEX'!I41,'Appendix B'!$B$5:$B$42,0)),0)</f>
        <v>0</v>
      </c>
      <c r="L41" s="153">
        <f t="shared" si="0"/>
        <v>0</v>
      </c>
      <c r="M41" s="123">
        <v>0</v>
      </c>
      <c r="N41" s="124">
        <f t="shared" si="1"/>
        <v>0</v>
      </c>
    </row>
    <row r="42" spans="1:14" ht="19.5" customHeight="1">
      <c r="A42" s="119">
        <v>32</v>
      </c>
      <c r="B42" s="120"/>
      <c r="C42" s="120"/>
      <c r="D42" s="120"/>
      <c r="E42" s="120"/>
      <c r="F42" s="122"/>
      <c r="G42" s="122"/>
      <c r="H42" s="146"/>
      <c r="I42" s="122"/>
      <c r="J42" s="154"/>
      <c r="K42" s="153">
        <f>IFERROR(INDEX('Appendix B'!$C$5:$C$42,MATCH('Section 5. CAPEX'!I42,'Appendix B'!$B$5:$B$42,0)),0)</f>
        <v>0</v>
      </c>
      <c r="L42" s="153">
        <f t="shared" si="0"/>
        <v>0</v>
      </c>
      <c r="M42" s="123">
        <v>0</v>
      </c>
      <c r="N42" s="124">
        <f t="shared" si="1"/>
        <v>0</v>
      </c>
    </row>
    <row r="43" spans="1:14" ht="19.5" customHeight="1">
      <c r="A43" s="119">
        <v>33</v>
      </c>
      <c r="B43" s="120"/>
      <c r="C43" s="120"/>
      <c r="D43" s="120"/>
      <c r="E43" s="120"/>
      <c r="F43" s="122"/>
      <c r="G43" s="122"/>
      <c r="H43" s="146"/>
      <c r="I43" s="122"/>
      <c r="J43" s="154"/>
      <c r="K43" s="153">
        <f>IFERROR(INDEX('Appendix B'!$C$5:$C$42,MATCH('Section 5. CAPEX'!I43,'Appendix B'!$B$5:$B$42,0)),0)</f>
        <v>0</v>
      </c>
      <c r="L43" s="153">
        <f t="shared" ref="L43:L74" si="2">IF(J43&lt;=0,K43,J43)</f>
        <v>0</v>
      </c>
      <c r="M43" s="123">
        <v>0</v>
      </c>
      <c r="N43" s="124">
        <f t="shared" ref="N43:N74" si="3">M43*L43</f>
        <v>0</v>
      </c>
    </row>
    <row r="44" spans="1:14" ht="19.5" customHeight="1">
      <c r="A44" s="119">
        <v>34</v>
      </c>
      <c r="B44" s="120"/>
      <c r="C44" s="120"/>
      <c r="D44" s="120"/>
      <c r="E44" s="120"/>
      <c r="F44" s="122"/>
      <c r="G44" s="122"/>
      <c r="H44" s="146"/>
      <c r="I44" s="122"/>
      <c r="J44" s="154"/>
      <c r="K44" s="153">
        <f>IFERROR(INDEX('Appendix B'!$C$5:$C$42,MATCH('Section 5. CAPEX'!I44,'Appendix B'!$B$5:$B$42,0)),0)</f>
        <v>0</v>
      </c>
      <c r="L44" s="153">
        <f t="shared" si="2"/>
        <v>0</v>
      </c>
      <c r="M44" s="123">
        <v>0</v>
      </c>
      <c r="N44" s="124">
        <f t="shared" si="3"/>
        <v>0</v>
      </c>
    </row>
    <row r="45" spans="1:14" ht="19.5" customHeight="1">
      <c r="A45" s="119">
        <v>35</v>
      </c>
      <c r="B45" s="120"/>
      <c r="C45" s="120"/>
      <c r="D45" s="120"/>
      <c r="E45" s="120"/>
      <c r="F45" s="122"/>
      <c r="G45" s="122"/>
      <c r="H45" s="146"/>
      <c r="I45" s="122"/>
      <c r="J45" s="154"/>
      <c r="K45" s="153">
        <f>IFERROR(INDEX('Appendix B'!$C$5:$C$42,MATCH('Section 5. CAPEX'!I45,'Appendix B'!$B$5:$B$42,0)),0)</f>
        <v>0</v>
      </c>
      <c r="L45" s="153">
        <f t="shared" si="2"/>
        <v>0</v>
      </c>
      <c r="M45" s="123">
        <v>0</v>
      </c>
      <c r="N45" s="124">
        <f t="shared" si="3"/>
        <v>0</v>
      </c>
    </row>
    <row r="46" spans="1:14" ht="19.5" customHeight="1">
      <c r="A46" s="119">
        <v>36</v>
      </c>
      <c r="B46" s="120"/>
      <c r="C46" s="120"/>
      <c r="D46" s="120"/>
      <c r="E46" s="120"/>
      <c r="F46" s="122"/>
      <c r="G46" s="122"/>
      <c r="H46" s="146"/>
      <c r="I46" s="122"/>
      <c r="J46" s="154"/>
      <c r="K46" s="153">
        <f>IFERROR(INDEX('Appendix B'!$C$5:$C$42,MATCH('Section 5. CAPEX'!I46,'Appendix B'!$B$5:$B$42,0)),0)</f>
        <v>0</v>
      </c>
      <c r="L46" s="153">
        <f t="shared" si="2"/>
        <v>0</v>
      </c>
      <c r="M46" s="123">
        <v>0</v>
      </c>
      <c r="N46" s="124">
        <f t="shared" si="3"/>
        <v>0</v>
      </c>
    </row>
    <row r="47" spans="1:14" ht="19.5" customHeight="1">
      <c r="A47" s="119">
        <v>37</v>
      </c>
      <c r="B47" s="120"/>
      <c r="C47" s="120"/>
      <c r="D47" s="120"/>
      <c r="E47" s="120"/>
      <c r="F47" s="122"/>
      <c r="G47" s="122"/>
      <c r="H47" s="146"/>
      <c r="I47" s="122"/>
      <c r="J47" s="154"/>
      <c r="K47" s="153">
        <f>IFERROR(INDEX('Appendix B'!$C$5:$C$42,MATCH('Section 5. CAPEX'!I47,'Appendix B'!$B$5:$B$42,0)),0)</f>
        <v>0</v>
      </c>
      <c r="L47" s="153">
        <f t="shared" si="2"/>
        <v>0</v>
      </c>
      <c r="M47" s="123">
        <v>0</v>
      </c>
      <c r="N47" s="124">
        <f t="shared" si="3"/>
        <v>0</v>
      </c>
    </row>
    <row r="48" spans="1:14" ht="19.5" customHeight="1">
      <c r="A48" s="119">
        <v>38</v>
      </c>
      <c r="B48" s="120"/>
      <c r="C48" s="120"/>
      <c r="D48" s="120"/>
      <c r="E48" s="120"/>
      <c r="F48" s="122"/>
      <c r="G48" s="122"/>
      <c r="H48" s="146"/>
      <c r="I48" s="122"/>
      <c r="J48" s="154"/>
      <c r="K48" s="153">
        <f>IFERROR(INDEX('Appendix B'!$C$5:$C$42,MATCH('Section 5. CAPEX'!I48,'Appendix B'!$B$5:$B$42,0)),0)</f>
        <v>0</v>
      </c>
      <c r="L48" s="153">
        <f t="shared" si="2"/>
        <v>0</v>
      </c>
      <c r="M48" s="123">
        <v>0</v>
      </c>
      <c r="N48" s="124">
        <f t="shared" si="3"/>
        <v>0</v>
      </c>
    </row>
    <row r="49" spans="1:14" ht="19.5" customHeight="1">
      <c r="A49" s="119">
        <v>39</v>
      </c>
      <c r="B49" s="120"/>
      <c r="C49" s="120"/>
      <c r="D49" s="120"/>
      <c r="E49" s="120"/>
      <c r="F49" s="122"/>
      <c r="G49" s="122"/>
      <c r="H49" s="146"/>
      <c r="I49" s="122"/>
      <c r="J49" s="154"/>
      <c r="K49" s="153">
        <f>IFERROR(INDEX('Appendix B'!$C$5:$C$42,MATCH('Section 5. CAPEX'!I49,'Appendix B'!$B$5:$B$42,0)),0)</f>
        <v>0</v>
      </c>
      <c r="L49" s="153">
        <f t="shared" si="2"/>
        <v>0</v>
      </c>
      <c r="M49" s="123">
        <v>0</v>
      </c>
      <c r="N49" s="124">
        <f t="shared" si="3"/>
        <v>0</v>
      </c>
    </row>
    <row r="50" spans="1:14" ht="19.5" customHeight="1">
      <c r="A50" s="119">
        <v>40</v>
      </c>
      <c r="B50" s="120"/>
      <c r="C50" s="120"/>
      <c r="D50" s="120"/>
      <c r="E50" s="120"/>
      <c r="F50" s="122"/>
      <c r="G50" s="122"/>
      <c r="H50" s="146"/>
      <c r="I50" s="122"/>
      <c r="J50" s="154"/>
      <c r="K50" s="153">
        <f>IFERROR(INDEX('Appendix B'!$C$5:$C$42,MATCH('Section 5. CAPEX'!I50,'Appendix B'!$B$5:$B$42,0)),0)</f>
        <v>0</v>
      </c>
      <c r="L50" s="153">
        <f t="shared" si="2"/>
        <v>0</v>
      </c>
      <c r="M50" s="123">
        <v>0</v>
      </c>
      <c r="N50" s="124">
        <f t="shared" si="3"/>
        <v>0</v>
      </c>
    </row>
    <row r="51" spans="1:14" ht="19.5" customHeight="1">
      <c r="A51" s="119">
        <v>41</v>
      </c>
      <c r="B51" s="120"/>
      <c r="C51" s="120"/>
      <c r="D51" s="120"/>
      <c r="E51" s="120"/>
      <c r="F51" s="122"/>
      <c r="G51" s="122"/>
      <c r="H51" s="146"/>
      <c r="I51" s="122"/>
      <c r="J51" s="154"/>
      <c r="K51" s="153">
        <f>IFERROR(INDEX('Appendix B'!$C$5:$C$42,MATCH('Section 5. CAPEX'!I51,'Appendix B'!$B$5:$B$42,0)),0)</f>
        <v>0</v>
      </c>
      <c r="L51" s="153">
        <f t="shared" si="2"/>
        <v>0</v>
      </c>
      <c r="M51" s="123">
        <v>0</v>
      </c>
      <c r="N51" s="124">
        <f t="shared" si="3"/>
        <v>0</v>
      </c>
    </row>
    <row r="52" spans="1:14" ht="19.5" customHeight="1">
      <c r="A52" s="119">
        <v>42</v>
      </c>
      <c r="B52" s="120"/>
      <c r="C52" s="120"/>
      <c r="D52" s="120"/>
      <c r="E52" s="120"/>
      <c r="F52" s="122"/>
      <c r="G52" s="122"/>
      <c r="H52" s="146"/>
      <c r="I52" s="122"/>
      <c r="J52" s="154"/>
      <c r="K52" s="153">
        <f>IFERROR(INDEX('Appendix B'!$C$5:$C$42,MATCH('Section 5. CAPEX'!I52,'Appendix B'!$B$5:$B$42,0)),0)</f>
        <v>0</v>
      </c>
      <c r="L52" s="153">
        <f t="shared" si="2"/>
        <v>0</v>
      </c>
      <c r="M52" s="123">
        <v>0</v>
      </c>
      <c r="N52" s="124">
        <f t="shared" si="3"/>
        <v>0</v>
      </c>
    </row>
    <row r="53" spans="1:14" ht="19.5" customHeight="1">
      <c r="A53" s="119">
        <v>43</v>
      </c>
      <c r="B53" s="120"/>
      <c r="C53" s="120"/>
      <c r="D53" s="120"/>
      <c r="E53" s="120"/>
      <c r="F53" s="122"/>
      <c r="G53" s="122"/>
      <c r="H53" s="146"/>
      <c r="I53" s="122"/>
      <c r="J53" s="154"/>
      <c r="K53" s="153">
        <f>IFERROR(INDEX('Appendix B'!$C$5:$C$42,MATCH('Section 5. CAPEX'!I53,'Appendix B'!$B$5:$B$42,0)),0)</f>
        <v>0</v>
      </c>
      <c r="L53" s="153">
        <f t="shared" si="2"/>
        <v>0</v>
      </c>
      <c r="M53" s="123">
        <v>0</v>
      </c>
      <c r="N53" s="124">
        <f t="shared" si="3"/>
        <v>0</v>
      </c>
    </row>
    <row r="54" spans="1:14" ht="19.5" customHeight="1">
      <c r="A54" s="119">
        <v>44</v>
      </c>
      <c r="B54" s="120"/>
      <c r="C54" s="120"/>
      <c r="D54" s="120"/>
      <c r="E54" s="120"/>
      <c r="F54" s="122"/>
      <c r="G54" s="122"/>
      <c r="H54" s="146"/>
      <c r="I54" s="122"/>
      <c r="J54" s="154"/>
      <c r="K54" s="153">
        <f>IFERROR(INDEX('Appendix B'!$C$5:$C$42,MATCH('Section 5. CAPEX'!I54,'Appendix B'!$B$5:$B$42,0)),0)</f>
        <v>0</v>
      </c>
      <c r="L54" s="153">
        <f t="shared" si="2"/>
        <v>0</v>
      </c>
      <c r="M54" s="123">
        <v>0</v>
      </c>
      <c r="N54" s="124">
        <f t="shared" si="3"/>
        <v>0</v>
      </c>
    </row>
    <row r="55" spans="1:14" ht="19.5" customHeight="1">
      <c r="A55" s="119">
        <v>45</v>
      </c>
      <c r="B55" s="120"/>
      <c r="C55" s="120"/>
      <c r="D55" s="120"/>
      <c r="E55" s="120"/>
      <c r="F55" s="122"/>
      <c r="G55" s="122"/>
      <c r="H55" s="146"/>
      <c r="I55" s="122"/>
      <c r="J55" s="154"/>
      <c r="K55" s="153">
        <f>IFERROR(INDEX('Appendix B'!$C$5:$C$42,MATCH('Section 5. CAPEX'!I55,'Appendix B'!$B$5:$B$42,0)),0)</f>
        <v>0</v>
      </c>
      <c r="L55" s="153">
        <f t="shared" si="2"/>
        <v>0</v>
      </c>
      <c r="M55" s="123">
        <v>0</v>
      </c>
      <c r="N55" s="124">
        <f t="shared" si="3"/>
        <v>0</v>
      </c>
    </row>
    <row r="56" spans="1:14" ht="19.5" customHeight="1">
      <c r="A56" s="119">
        <v>46</v>
      </c>
      <c r="B56" s="120"/>
      <c r="C56" s="120"/>
      <c r="D56" s="120"/>
      <c r="E56" s="120"/>
      <c r="F56" s="122"/>
      <c r="G56" s="122"/>
      <c r="H56" s="146"/>
      <c r="I56" s="122"/>
      <c r="J56" s="154"/>
      <c r="K56" s="153">
        <f>IFERROR(INDEX('Appendix B'!$C$5:$C$42,MATCH('Section 5. CAPEX'!I56,'Appendix B'!$B$5:$B$42,0)),0)</f>
        <v>0</v>
      </c>
      <c r="L56" s="153">
        <f t="shared" si="2"/>
        <v>0</v>
      </c>
      <c r="M56" s="123">
        <v>0</v>
      </c>
      <c r="N56" s="124">
        <f t="shared" si="3"/>
        <v>0</v>
      </c>
    </row>
    <row r="57" spans="1:14" ht="19.5" customHeight="1">
      <c r="A57" s="119">
        <v>47</v>
      </c>
      <c r="B57" s="120"/>
      <c r="C57" s="120"/>
      <c r="D57" s="120"/>
      <c r="E57" s="120"/>
      <c r="F57" s="122"/>
      <c r="G57" s="122"/>
      <c r="H57" s="146"/>
      <c r="I57" s="122"/>
      <c r="J57" s="154"/>
      <c r="K57" s="153">
        <f>IFERROR(INDEX('Appendix B'!$C$5:$C$42,MATCH('Section 5. CAPEX'!I57,'Appendix B'!$B$5:$B$42,0)),0)</f>
        <v>0</v>
      </c>
      <c r="L57" s="153">
        <f t="shared" si="2"/>
        <v>0</v>
      </c>
      <c r="M57" s="123">
        <v>0</v>
      </c>
      <c r="N57" s="124">
        <f t="shared" si="3"/>
        <v>0</v>
      </c>
    </row>
    <row r="58" spans="1:14" ht="19.5" customHeight="1">
      <c r="A58" s="119">
        <v>48</v>
      </c>
      <c r="B58" s="120"/>
      <c r="C58" s="120"/>
      <c r="D58" s="120"/>
      <c r="E58" s="120"/>
      <c r="F58" s="122"/>
      <c r="G58" s="122"/>
      <c r="H58" s="146"/>
      <c r="I58" s="122"/>
      <c r="J58" s="154"/>
      <c r="K58" s="153">
        <f>IFERROR(INDEX('Appendix B'!$C$5:$C$42,MATCH('Section 5. CAPEX'!I58,'Appendix B'!$B$5:$B$42,0)),0)</f>
        <v>0</v>
      </c>
      <c r="L58" s="153">
        <f t="shared" si="2"/>
        <v>0</v>
      </c>
      <c r="M58" s="123">
        <v>0</v>
      </c>
      <c r="N58" s="124">
        <f t="shared" si="3"/>
        <v>0</v>
      </c>
    </row>
    <row r="59" spans="1:14" ht="19.5" customHeight="1">
      <c r="A59" s="119">
        <v>49</v>
      </c>
      <c r="B59" s="120"/>
      <c r="C59" s="120"/>
      <c r="D59" s="120"/>
      <c r="E59" s="120"/>
      <c r="F59" s="122"/>
      <c r="G59" s="122"/>
      <c r="H59" s="146"/>
      <c r="I59" s="122"/>
      <c r="J59" s="154"/>
      <c r="K59" s="153">
        <f>IFERROR(INDEX('Appendix B'!$C$5:$C$42,MATCH('Section 5. CAPEX'!I59,'Appendix B'!$B$5:$B$42,0)),0)</f>
        <v>0</v>
      </c>
      <c r="L59" s="153">
        <f t="shared" si="2"/>
        <v>0</v>
      </c>
      <c r="M59" s="123">
        <v>0</v>
      </c>
      <c r="N59" s="124">
        <f t="shared" si="3"/>
        <v>0</v>
      </c>
    </row>
    <row r="60" spans="1:14" ht="19.5" customHeight="1">
      <c r="A60" s="119">
        <v>50</v>
      </c>
      <c r="B60" s="120"/>
      <c r="C60" s="120"/>
      <c r="D60" s="120"/>
      <c r="E60" s="120"/>
      <c r="F60" s="122"/>
      <c r="G60" s="122"/>
      <c r="H60" s="146"/>
      <c r="I60" s="122"/>
      <c r="J60" s="154"/>
      <c r="K60" s="153">
        <f>IFERROR(INDEX('Appendix B'!$C$5:$C$42,MATCH('Section 5. CAPEX'!I60,'Appendix B'!$B$5:$B$42,0)),0)</f>
        <v>0</v>
      </c>
      <c r="L60" s="153">
        <f t="shared" si="2"/>
        <v>0</v>
      </c>
      <c r="M60" s="123">
        <v>0</v>
      </c>
      <c r="N60" s="124">
        <f t="shared" si="3"/>
        <v>0</v>
      </c>
    </row>
    <row r="61" spans="1:14" ht="19.5" customHeight="1">
      <c r="A61" s="119">
        <v>51</v>
      </c>
      <c r="B61" s="120"/>
      <c r="C61" s="120"/>
      <c r="D61" s="120"/>
      <c r="E61" s="120"/>
      <c r="F61" s="122"/>
      <c r="G61" s="122"/>
      <c r="H61" s="146"/>
      <c r="I61" s="122"/>
      <c r="J61" s="154"/>
      <c r="K61" s="153">
        <f>IFERROR(INDEX('Appendix B'!$C$5:$C$42,MATCH('Section 5. CAPEX'!I61,'Appendix B'!$B$5:$B$42,0)),0)</f>
        <v>0</v>
      </c>
      <c r="L61" s="153">
        <f t="shared" si="2"/>
        <v>0</v>
      </c>
      <c r="M61" s="123">
        <v>0</v>
      </c>
      <c r="N61" s="124">
        <f t="shared" si="3"/>
        <v>0</v>
      </c>
    </row>
    <row r="62" spans="1:14" ht="19.5" customHeight="1">
      <c r="A62" s="119">
        <v>52</v>
      </c>
      <c r="B62" s="120"/>
      <c r="C62" s="120"/>
      <c r="D62" s="120"/>
      <c r="E62" s="120"/>
      <c r="F62" s="122"/>
      <c r="G62" s="122"/>
      <c r="H62" s="146"/>
      <c r="I62" s="122"/>
      <c r="J62" s="154"/>
      <c r="K62" s="153">
        <f>IFERROR(INDEX('Appendix B'!$C$5:$C$42,MATCH('Section 5. CAPEX'!I62,'Appendix B'!$B$5:$B$42,0)),0)</f>
        <v>0</v>
      </c>
      <c r="L62" s="153">
        <f t="shared" si="2"/>
        <v>0</v>
      </c>
      <c r="M62" s="123">
        <v>0</v>
      </c>
      <c r="N62" s="124">
        <f t="shared" si="3"/>
        <v>0</v>
      </c>
    </row>
    <row r="63" spans="1:14" ht="19.5" customHeight="1">
      <c r="A63" s="119">
        <v>53</v>
      </c>
      <c r="B63" s="120"/>
      <c r="C63" s="120"/>
      <c r="D63" s="120"/>
      <c r="E63" s="120"/>
      <c r="F63" s="122"/>
      <c r="G63" s="122"/>
      <c r="H63" s="146"/>
      <c r="I63" s="122"/>
      <c r="J63" s="154"/>
      <c r="K63" s="153">
        <f>IFERROR(INDEX('Appendix B'!$C$5:$C$42,MATCH('Section 5. CAPEX'!I63,'Appendix B'!$B$5:$B$42,0)),0)</f>
        <v>0</v>
      </c>
      <c r="L63" s="153">
        <f t="shared" si="2"/>
        <v>0</v>
      </c>
      <c r="M63" s="123">
        <v>0</v>
      </c>
      <c r="N63" s="124">
        <f t="shared" si="3"/>
        <v>0</v>
      </c>
    </row>
    <row r="64" spans="1:14" ht="19.5" customHeight="1">
      <c r="A64" s="119">
        <v>54</v>
      </c>
      <c r="B64" s="120"/>
      <c r="C64" s="120"/>
      <c r="D64" s="120"/>
      <c r="E64" s="120"/>
      <c r="F64" s="122"/>
      <c r="G64" s="122"/>
      <c r="H64" s="146"/>
      <c r="I64" s="122"/>
      <c r="J64" s="154"/>
      <c r="K64" s="153">
        <f>IFERROR(INDEX('Appendix B'!$C$5:$C$42,MATCH('Section 5. CAPEX'!I64,'Appendix B'!$B$5:$B$42,0)),0)</f>
        <v>0</v>
      </c>
      <c r="L64" s="153">
        <f t="shared" si="2"/>
        <v>0</v>
      </c>
      <c r="M64" s="123">
        <v>0</v>
      </c>
      <c r="N64" s="124">
        <f t="shared" si="3"/>
        <v>0</v>
      </c>
    </row>
    <row r="65" spans="1:14" ht="19.5" customHeight="1">
      <c r="A65" s="119">
        <v>55</v>
      </c>
      <c r="B65" s="120"/>
      <c r="C65" s="120"/>
      <c r="D65" s="120"/>
      <c r="E65" s="120"/>
      <c r="F65" s="122"/>
      <c r="G65" s="122"/>
      <c r="H65" s="146"/>
      <c r="I65" s="122"/>
      <c r="J65" s="154"/>
      <c r="K65" s="153">
        <f>IFERROR(INDEX('Appendix B'!$C$5:$C$42,MATCH('Section 5. CAPEX'!I65,'Appendix B'!$B$5:$B$42,0)),0)</f>
        <v>0</v>
      </c>
      <c r="L65" s="153">
        <f t="shared" si="2"/>
        <v>0</v>
      </c>
      <c r="M65" s="123">
        <v>0</v>
      </c>
      <c r="N65" s="124">
        <f t="shared" si="3"/>
        <v>0</v>
      </c>
    </row>
    <row r="66" spans="1:14" ht="19.5" customHeight="1">
      <c r="A66" s="119">
        <v>56</v>
      </c>
      <c r="B66" s="120"/>
      <c r="C66" s="120"/>
      <c r="D66" s="120"/>
      <c r="E66" s="120"/>
      <c r="F66" s="122"/>
      <c r="G66" s="122"/>
      <c r="H66" s="146"/>
      <c r="I66" s="122"/>
      <c r="J66" s="154"/>
      <c r="K66" s="153">
        <f>IFERROR(INDEX('Appendix B'!$C$5:$C$42,MATCH('Section 5. CAPEX'!I66,'Appendix B'!$B$5:$B$42,0)),0)</f>
        <v>0</v>
      </c>
      <c r="L66" s="153">
        <f t="shared" si="2"/>
        <v>0</v>
      </c>
      <c r="M66" s="123">
        <v>0</v>
      </c>
      <c r="N66" s="124">
        <f t="shared" si="3"/>
        <v>0</v>
      </c>
    </row>
    <row r="67" spans="1:14" ht="19.5" customHeight="1">
      <c r="A67" s="119">
        <v>57</v>
      </c>
      <c r="B67" s="120"/>
      <c r="C67" s="120"/>
      <c r="D67" s="120"/>
      <c r="E67" s="120"/>
      <c r="F67" s="122"/>
      <c r="G67" s="122"/>
      <c r="H67" s="146"/>
      <c r="I67" s="122"/>
      <c r="J67" s="154"/>
      <c r="K67" s="153">
        <f>IFERROR(INDEX('Appendix B'!$C$5:$C$42,MATCH('Section 5. CAPEX'!I67,'Appendix B'!$B$5:$B$42,0)),0)</f>
        <v>0</v>
      </c>
      <c r="L67" s="153">
        <f t="shared" si="2"/>
        <v>0</v>
      </c>
      <c r="M67" s="123">
        <v>0</v>
      </c>
      <c r="N67" s="124">
        <f t="shared" si="3"/>
        <v>0</v>
      </c>
    </row>
    <row r="68" spans="1:14" ht="19.5" customHeight="1">
      <c r="A68" s="119">
        <v>58</v>
      </c>
      <c r="B68" s="120"/>
      <c r="C68" s="120"/>
      <c r="D68" s="120"/>
      <c r="E68" s="120"/>
      <c r="F68" s="122"/>
      <c r="G68" s="122"/>
      <c r="H68" s="146"/>
      <c r="I68" s="122"/>
      <c r="J68" s="154"/>
      <c r="K68" s="153">
        <f>IFERROR(INDEX('Appendix B'!$C$5:$C$42,MATCH('Section 5. CAPEX'!I68,'Appendix B'!$B$5:$B$42,0)),0)</f>
        <v>0</v>
      </c>
      <c r="L68" s="153">
        <f t="shared" si="2"/>
        <v>0</v>
      </c>
      <c r="M68" s="123">
        <v>0</v>
      </c>
      <c r="N68" s="124">
        <f t="shared" si="3"/>
        <v>0</v>
      </c>
    </row>
    <row r="69" spans="1:14" ht="19.5" customHeight="1">
      <c r="A69" s="119">
        <v>59</v>
      </c>
      <c r="B69" s="120"/>
      <c r="C69" s="120"/>
      <c r="D69" s="120"/>
      <c r="E69" s="120"/>
      <c r="F69" s="122"/>
      <c r="G69" s="122"/>
      <c r="H69" s="146"/>
      <c r="I69" s="122"/>
      <c r="J69" s="154"/>
      <c r="K69" s="153">
        <f>IFERROR(INDEX('Appendix B'!$C$5:$C$42,MATCH('Section 5. CAPEX'!I69,'Appendix B'!$B$5:$B$42,0)),0)</f>
        <v>0</v>
      </c>
      <c r="L69" s="153">
        <f t="shared" si="2"/>
        <v>0</v>
      </c>
      <c r="M69" s="123">
        <v>0</v>
      </c>
      <c r="N69" s="124">
        <f t="shared" si="3"/>
        <v>0</v>
      </c>
    </row>
    <row r="70" spans="1:14" ht="19.5" customHeight="1">
      <c r="A70" s="119">
        <v>60</v>
      </c>
      <c r="B70" s="120"/>
      <c r="C70" s="120"/>
      <c r="D70" s="120"/>
      <c r="E70" s="120"/>
      <c r="F70" s="122"/>
      <c r="G70" s="122"/>
      <c r="H70" s="146"/>
      <c r="I70" s="122"/>
      <c r="J70" s="154"/>
      <c r="K70" s="153">
        <f>IFERROR(INDEX('Appendix B'!$C$5:$C$42,MATCH('Section 5. CAPEX'!I70,'Appendix B'!$B$5:$B$42,0)),0)</f>
        <v>0</v>
      </c>
      <c r="L70" s="153">
        <f t="shared" si="2"/>
        <v>0</v>
      </c>
      <c r="M70" s="123">
        <v>0</v>
      </c>
      <c r="N70" s="124">
        <f t="shared" si="3"/>
        <v>0</v>
      </c>
    </row>
    <row r="71" spans="1:14" ht="19.5" customHeight="1">
      <c r="A71" s="119">
        <v>61</v>
      </c>
      <c r="B71" s="120"/>
      <c r="C71" s="120"/>
      <c r="D71" s="120"/>
      <c r="E71" s="120"/>
      <c r="F71" s="122"/>
      <c r="G71" s="122"/>
      <c r="H71" s="146"/>
      <c r="I71" s="122"/>
      <c r="J71" s="154"/>
      <c r="K71" s="153">
        <f>IFERROR(INDEX('Appendix B'!$C$5:$C$42,MATCH('Section 5. CAPEX'!I71,'Appendix B'!$B$5:$B$42,0)),0)</f>
        <v>0</v>
      </c>
      <c r="L71" s="153">
        <f t="shared" si="2"/>
        <v>0</v>
      </c>
      <c r="M71" s="123">
        <v>0</v>
      </c>
      <c r="N71" s="124">
        <f t="shared" si="3"/>
        <v>0</v>
      </c>
    </row>
    <row r="72" spans="1:14" ht="19.5" customHeight="1">
      <c r="A72" s="119">
        <v>62</v>
      </c>
      <c r="B72" s="120"/>
      <c r="C72" s="120"/>
      <c r="D72" s="120"/>
      <c r="E72" s="120"/>
      <c r="F72" s="122"/>
      <c r="G72" s="122"/>
      <c r="H72" s="146"/>
      <c r="I72" s="122"/>
      <c r="J72" s="154"/>
      <c r="K72" s="153">
        <f>IFERROR(INDEX('Appendix B'!$C$5:$C$42,MATCH('Section 5. CAPEX'!I72,'Appendix B'!$B$5:$B$42,0)),0)</f>
        <v>0</v>
      </c>
      <c r="L72" s="153">
        <f t="shared" si="2"/>
        <v>0</v>
      </c>
      <c r="M72" s="123">
        <v>0</v>
      </c>
      <c r="N72" s="124">
        <f t="shared" si="3"/>
        <v>0</v>
      </c>
    </row>
    <row r="73" spans="1:14" ht="19.5" customHeight="1">
      <c r="A73" s="119">
        <v>63</v>
      </c>
      <c r="B73" s="120"/>
      <c r="C73" s="120"/>
      <c r="D73" s="120"/>
      <c r="E73" s="120"/>
      <c r="F73" s="122"/>
      <c r="G73" s="122"/>
      <c r="H73" s="146"/>
      <c r="I73" s="122"/>
      <c r="J73" s="154"/>
      <c r="K73" s="153">
        <f>IFERROR(INDEX('Appendix B'!$C$5:$C$42,MATCH('Section 5. CAPEX'!I73,'Appendix B'!$B$5:$B$42,0)),0)</f>
        <v>0</v>
      </c>
      <c r="L73" s="153">
        <f t="shared" si="2"/>
        <v>0</v>
      </c>
      <c r="M73" s="123">
        <v>0</v>
      </c>
      <c r="N73" s="124">
        <f t="shared" si="3"/>
        <v>0</v>
      </c>
    </row>
    <row r="74" spans="1:14" ht="19.5" customHeight="1">
      <c r="A74" s="119">
        <v>64</v>
      </c>
      <c r="B74" s="120"/>
      <c r="C74" s="120"/>
      <c r="D74" s="120"/>
      <c r="E74" s="120"/>
      <c r="F74" s="122"/>
      <c r="G74" s="122"/>
      <c r="H74" s="146"/>
      <c r="I74" s="122"/>
      <c r="J74" s="154"/>
      <c r="K74" s="153">
        <f>IFERROR(INDEX('Appendix B'!$C$5:$C$42,MATCH('Section 5. CAPEX'!I74,'Appendix B'!$B$5:$B$42,0)),0)</f>
        <v>0</v>
      </c>
      <c r="L74" s="153">
        <f t="shared" si="2"/>
        <v>0</v>
      </c>
      <c r="M74" s="123">
        <v>0</v>
      </c>
      <c r="N74" s="124">
        <f t="shared" si="3"/>
        <v>0</v>
      </c>
    </row>
    <row r="75" spans="1:14" ht="19.5" customHeight="1">
      <c r="A75" s="119">
        <v>65</v>
      </c>
      <c r="B75" s="120"/>
      <c r="C75" s="120"/>
      <c r="D75" s="120"/>
      <c r="E75" s="120"/>
      <c r="F75" s="122"/>
      <c r="G75" s="122"/>
      <c r="H75" s="146"/>
      <c r="I75" s="122"/>
      <c r="J75" s="154"/>
      <c r="K75" s="153">
        <f>IFERROR(INDEX('Appendix B'!$C$5:$C$42,MATCH('Section 5. CAPEX'!I75,'Appendix B'!$B$5:$B$42,0)),0)</f>
        <v>0</v>
      </c>
      <c r="L75" s="153">
        <f t="shared" ref="L75:L90" si="4">IF(J75&lt;=0,K75,J75)</f>
        <v>0</v>
      </c>
      <c r="M75" s="123">
        <v>0</v>
      </c>
      <c r="N75" s="124">
        <f t="shared" ref="N75:N93" si="5">M75*L75</f>
        <v>0</v>
      </c>
    </row>
    <row r="76" spans="1:14" ht="19.5" customHeight="1">
      <c r="A76" s="119">
        <v>66</v>
      </c>
      <c r="B76" s="120"/>
      <c r="C76" s="120"/>
      <c r="D76" s="120"/>
      <c r="E76" s="120"/>
      <c r="F76" s="122"/>
      <c r="G76" s="122"/>
      <c r="H76" s="146"/>
      <c r="I76" s="122"/>
      <c r="J76" s="154"/>
      <c r="K76" s="153">
        <f>IFERROR(INDEX('Appendix B'!$C$5:$C$42,MATCH('Section 5. CAPEX'!I76,'Appendix B'!$B$5:$B$42,0)),0)</f>
        <v>0</v>
      </c>
      <c r="L76" s="153">
        <f t="shared" si="4"/>
        <v>0</v>
      </c>
      <c r="M76" s="123">
        <v>0</v>
      </c>
      <c r="N76" s="124">
        <f t="shared" si="5"/>
        <v>0</v>
      </c>
    </row>
    <row r="77" spans="1:14" ht="19.5" customHeight="1">
      <c r="A77" s="119">
        <v>67</v>
      </c>
      <c r="B77" s="120"/>
      <c r="C77" s="120"/>
      <c r="D77" s="120"/>
      <c r="E77" s="120"/>
      <c r="F77" s="122"/>
      <c r="G77" s="122"/>
      <c r="H77" s="146"/>
      <c r="I77" s="122"/>
      <c r="J77" s="154"/>
      <c r="K77" s="153">
        <f>IFERROR(INDEX('Appendix B'!$C$5:$C$42,MATCH('Section 5. CAPEX'!I77,'Appendix B'!$B$5:$B$42,0)),0)</f>
        <v>0</v>
      </c>
      <c r="L77" s="153">
        <f t="shared" si="4"/>
        <v>0</v>
      </c>
      <c r="M77" s="123">
        <v>0</v>
      </c>
      <c r="N77" s="124">
        <f t="shared" si="5"/>
        <v>0</v>
      </c>
    </row>
    <row r="78" spans="1:14" ht="19.5" customHeight="1">
      <c r="A78" s="119">
        <v>68</v>
      </c>
      <c r="B78" s="120"/>
      <c r="C78" s="120"/>
      <c r="D78" s="120"/>
      <c r="E78" s="120"/>
      <c r="F78" s="122"/>
      <c r="G78" s="122"/>
      <c r="H78" s="146"/>
      <c r="I78" s="122"/>
      <c r="J78" s="154"/>
      <c r="K78" s="153">
        <f>IFERROR(INDEX('Appendix B'!$C$5:$C$42,MATCH('Section 5. CAPEX'!I78,'Appendix B'!$B$5:$B$42,0)),0)</f>
        <v>0</v>
      </c>
      <c r="L78" s="153">
        <f t="shared" si="4"/>
        <v>0</v>
      </c>
      <c r="M78" s="123">
        <v>0</v>
      </c>
      <c r="N78" s="124">
        <f t="shared" si="5"/>
        <v>0</v>
      </c>
    </row>
    <row r="79" spans="1:14" ht="19.5" customHeight="1">
      <c r="A79" s="119">
        <v>69</v>
      </c>
      <c r="B79" s="120"/>
      <c r="C79" s="120"/>
      <c r="D79" s="120"/>
      <c r="E79" s="120"/>
      <c r="F79" s="122"/>
      <c r="G79" s="122"/>
      <c r="H79" s="146"/>
      <c r="I79" s="122"/>
      <c r="J79" s="154"/>
      <c r="K79" s="153">
        <f>IFERROR(INDEX('Appendix B'!$C$5:$C$42,MATCH('Section 5. CAPEX'!I79,'Appendix B'!$B$5:$B$42,0)),0)</f>
        <v>0</v>
      </c>
      <c r="L79" s="153">
        <f t="shared" si="4"/>
        <v>0</v>
      </c>
      <c r="M79" s="123">
        <v>0</v>
      </c>
      <c r="N79" s="124">
        <f t="shared" si="5"/>
        <v>0</v>
      </c>
    </row>
    <row r="80" spans="1:14" ht="19.5" customHeight="1">
      <c r="A80" s="119">
        <v>70</v>
      </c>
      <c r="B80" s="120"/>
      <c r="C80" s="120"/>
      <c r="D80" s="120"/>
      <c r="E80" s="120"/>
      <c r="F80" s="122"/>
      <c r="G80" s="122"/>
      <c r="H80" s="146"/>
      <c r="I80" s="122"/>
      <c r="J80" s="154"/>
      <c r="K80" s="153">
        <f>IFERROR(INDEX('Appendix B'!$C$5:$C$42,MATCH('Section 5. CAPEX'!I80,'Appendix B'!$B$5:$B$42,0)),0)</f>
        <v>0</v>
      </c>
      <c r="L80" s="153">
        <f t="shared" si="4"/>
        <v>0</v>
      </c>
      <c r="M80" s="123">
        <v>0</v>
      </c>
      <c r="N80" s="124">
        <f t="shared" si="5"/>
        <v>0</v>
      </c>
    </row>
    <row r="81" spans="1:15" ht="19.5" customHeight="1">
      <c r="A81" s="119">
        <v>71</v>
      </c>
      <c r="B81" s="120"/>
      <c r="C81" s="120"/>
      <c r="D81" s="120"/>
      <c r="E81" s="120"/>
      <c r="F81" s="122"/>
      <c r="G81" s="122"/>
      <c r="H81" s="146"/>
      <c r="I81" s="122"/>
      <c r="J81" s="154"/>
      <c r="K81" s="153">
        <f>IFERROR(INDEX('Appendix B'!$C$5:$C$42,MATCH('Section 5. CAPEX'!I81,'Appendix B'!$B$5:$B$42,0)),0)</f>
        <v>0</v>
      </c>
      <c r="L81" s="153">
        <f t="shared" si="4"/>
        <v>0</v>
      </c>
      <c r="M81" s="123">
        <v>0</v>
      </c>
      <c r="N81" s="124">
        <f t="shared" si="5"/>
        <v>0</v>
      </c>
    </row>
    <row r="82" spans="1:15" ht="19.5" customHeight="1">
      <c r="A82" s="119">
        <v>72</v>
      </c>
      <c r="B82" s="120"/>
      <c r="C82" s="120"/>
      <c r="D82" s="120"/>
      <c r="E82" s="120"/>
      <c r="F82" s="122"/>
      <c r="G82" s="122"/>
      <c r="H82" s="146"/>
      <c r="I82" s="122"/>
      <c r="J82" s="154"/>
      <c r="K82" s="153">
        <f>IFERROR(INDEX('Appendix B'!$C$5:$C$42,MATCH('Section 5. CAPEX'!I82,'Appendix B'!$B$5:$B$42,0)),0)</f>
        <v>0</v>
      </c>
      <c r="L82" s="153">
        <f t="shared" si="4"/>
        <v>0</v>
      </c>
      <c r="M82" s="123">
        <v>0</v>
      </c>
      <c r="N82" s="124">
        <f t="shared" si="5"/>
        <v>0</v>
      </c>
    </row>
    <row r="83" spans="1:15" ht="19.5" customHeight="1">
      <c r="A83" s="119">
        <v>73</v>
      </c>
      <c r="B83" s="120"/>
      <c r="C83" s="120"/>
      <c r="D83" s="120"/>
      <c r="E83" s="120"/>
      <c r="F83" s="122"/>
      <c r="G83" s="122"/>
      <c r="H83" s="146"/>
      <c r="I83" s="122"/>
      <c r="J83" s="154"/>
      <c r="K83" s="153">
        <f>IFERROR(INDEX('Appendix B'!$C$5:$C$42,MATCH('Section 5. CAPEX'!I83,'Appendix B'!$B$5:$B$42,0)),0)</f>
        <v>0</v>
      </c>
      <c r="L83" s="153">
        <f t="shared" si="4"/>
        <v>0</v>
      </c>
      <c r="M83" s="123">
        <v>0</v>
      </c>
      <c r="N83" s="124">
        <f t="shared" si="5"/>
        <v>0</v>
      </c>
    </row>
    <row r="84" spans="1:15" ht="19.5" customHeight="1">
      <c r="A84" s="119">
        <v>74</v>
      </c>
      <c r="B84" s="120"/>
      <c r="C84" s="120"/>
      <c r="D84" s="120"/>
      <c r="E84" s="120"/>
      <c r="F84" s="122"/>
      <c r="G84" s="122"/>
      <c r="H84" s="146"/>
      <c r="I84" s="122"/>
      <c r="J84" s="154"/>
      <c r="K84" s="153">
        <f>IFERROR(INDEX('Appendix B'!$C$5:$C$42,MATCH('Section 5. CAPEX'!I84,'Appendix B'!$B$5:$B$42,0)),0)</f>
        <v>0</v>
      </c>
      <c r="L84" s="153">
        <f t="shared" si="4"/>
        <v>0</v>
      </c>
      <c r="M84" s="123">
        <v>0</v>
      </c>
      <c r="N84" s="124">
        <f t="shared" si="5"/>
        <v>0</v>
      </c>
    </row>
    <row r="85" spans="1:15" ht="19.5" customHeight="1">
      <c r="A85" s="119">
        <v>75</v>
      </c>
      <c r="B85" s="120"/>
      <c r="C85" s="120"/>
      <c r="D85" s="120"/>
      <c r="E85" s="120"/>
      <c r="F85" s="122"/>
      <c r="G85" s="122"/>
      <c r="H85" s="146"/>
      <c r="I85" s="122"/>
      <c r="J85" s="154"/>
      <c r="K85" s="153">
        <f>IFERROR(INDEX('Appendix B'!$C$5:$C$42,MATCH('Section 5. CAPEX'!I85,'Appendix B'!$B$5:$B$42,0)),0)</f>
        <v>0</v>
      </c>
      <c r="L85" s="153">
        <f t="shared" si="4"/>
        <v>0</v>
      </c>
      <c r="M85" s="123">
        <v>0</v>
      </c>
      <c r="N85" s="124">
        <f t="shared" si="5"/>
        <v>0</v>
      </c>
    </row>
    <row r="86" spans="1:15" ht="19.5" customHeight="1">
      <c r="A86" s="119">
        <v>76</v>
      </c>
      <c r="B86" s="120"/>
      <c r="C86" s="120"/>
      <c r="D86" s="120"/>
      <c r="E86" s="120"/>
      <c r="F86" s="122"/>
      <c r="G86" s="122"/>
      <c r="H86" s="146"/>
      <c r="I86" s="122"/>
      <c r="J86" s="154"/>
      <c r="K86" s="153">
        <f>IFERROR(INDEX('Appendix B'!$C$5:$C$42,MATCH('Section 5. CAPEX'!I86,'Appendix B'!$B$5:$B$42,0)),0)</f>
        <v>0</v>
      </c>
      <c r="L86" s="153">
        <f t="shared" si="4"/>
        <v>0</v>
      </c>
      <c r="M86" s="123">
        <v>0</v>
      </c>
      <c r="N86" s="124">
        <f t="shared" si="5"/>
        <v>0</v>
      </c>
    </row>
    <row r="87" spans="1:15" ht="19.5" customHeight="1">
      <c r="A87" s="119">
        <v>77</v>
      </c>
      <c r="B87" s="120"/>
      <c r="C87" s="120"/>
      <c r="D87" s="120"/>
      <c r="E87" s="120"/>
      <c r="F87" s="122"/>
      <c r="G87" s="122"/>
      <c r="H87" s="146"/>
      <c r="I87" s="122"/>
      <c r="J87" s="154"/>
      <c r="K87" s="153">
        <f>IFERROR(INDEX('Appendix B'!$C$5:$C$42,MATCH('Section 5. CAPEX'!I87,'Appendix B'!$B$5:$B$42,0)),0)</f>
        <v>0</v>
      </c>
      <c r="L87" s="153">
        <f t="shared" si="4"/>
        <v>0</v>
      </c>
      <c r="M87" s="123">
        <v>0</v>
      </c>
      <c r="N87" s="124">
        <f t="shared" si="5"/>
        <v>0</v>
      </c>
    </row>
    <row r="88" spans="1:15" ht="19.5" customHeight="1">
      <c r="A88" s="119">
        <v>78</v>
      </c>
      <c r="B88" s="120"/>
      <c r="C88" s="120"/>
      <c r="D88" s="120"/>
      <c r="E88" s="120"/>
      <c r="F88" s="122"/>
      <c r="G88" s="122"/>
      <c r="H88" s="146"/>
      <c r="I88" s="122"/>
      <c r="J88" s="154"/>
      <c r="K88" s="153">
        <f>IFERROR(INDEX('Appendix B'!$C$5:$C$42,MATCH('Section 5. CAPEX'!I88,'Appendix B'!$B$5:$B$42,0)),0)</f>
        <v>0</v>
      </c>
      <c r="L88" s="153">
        <f t="shared" si="4"/>
        <v>0</v>
      </c>
      <c r="M88" s="123">
        <v>0</v>
      </c>
      <c r="N88" s="124">
        <f t="shared" si="5"/>
        <v>0</v>
      </c>
    </row>
    <row r="89" spans="1:15" ht="19.5" customHeight="1">
      <c r="A89" s="119">
        <v>79</v>
      </c>
      <c r="B89" s="120"/>
      <c r="C89" s="120"/>
      <c r="D89" s="120"/>
      <c r="E89" s="120"/>
      <c r="F89" s="122"/>
      <c r="G89" s="122"/>
      <c r="H89" s="146"/>
      <c r="I89" s="122"/>
      <c r="J89" s="154"/>
      <c r="K89" s="153">
        <f>IFERROR(INDEX('Appendix B'!$C$5:$C$42,MATCH('Section 5. CAPEX'!I89,'Appendix B'!$B$5:$B$42,0)),0)</f>
        <v>0</v>
      </c>
      <c r="L89" s="153">
        <f t="shared" si="4"/>
        <v>0</v>
      </c>
      <c r="M89" s="123">
        <v>0</v>
      </c>
      <c r="N89" s="124">
        <f t="shared" si="5"/>
        <v>0</v>
      </c>
    </row>
    <row r="90" spans="1:15" ht="19.5" customHeight="1">
      <c r="A90" s="119">
        <v>80</v>
      </c>
      <c r="B90" s="120"/>
      <c r="C90" s="120"/>
      <c r="D90" s="120"/>
      <c r="E90" s="120"/>
      <c r="F90" s="122"/>
      <c r="G90" s="122"/>
      <c r="H90" s="146"/>
      <c r="I90" s="122"/>
      <c r="J90" s="154"/>
      <c r="K90" s="153">
        <f>IFERROR(INDEX('Appendix B'!$C$5:$C$42,MATCH('Section 5. CAPEX'!I90,'Appendix B'!$B$5:$B$42,0)),0)</f>
        <v>0</v>
      </c>
      <c r="L90" s="153">
        <f t="shared" si="4"/>
        <v>0</v>
      </c>
      <c r="M90" s="123">
        <v>0</v>
      </c>
      <c r="N90" s="124">
        <f t="shared" si="5"/>
        <v>0</v>
      </c>
    </row>
    <row r="91" spans="1:15" ht="17.25">
      <c r="A91" s="119"/>
      <c r="B91" s="181" t="s">
        <v>352</v>
      </c>
      <c r="C91" s="182"/>
      <c r="D91" s="182"/>
      <c r="E91" s="182"/>
      <c r="F91" s="182"/>
      <c r="G91" s="182"/>
      <c r="H91" s="182"/>
      <c r="I91" s="182"/>
      <c r="J91" s="182"/>
      <c r="K91" s="183"/>
      <c r="L91" s="153">
        <v>0</v>
      </c>
      <c r="M91" s="123">
        <v>0</v>
      </c>
      <c r="N91" s="124">
        <f t="shared" si="5"/>
        <v>0</v>
      </c>
      <c r="O91" s="168" t="str">
        <f>IF(M91&gt;(30%*C5),"Need LCGPA approval","")</f>
        <v/>
      </c>
    </row>
    <row r="92" spans="1:15" ht="17.25">
      <c r="A92" s="119"/>
      <c r="B92" s="181" t="s">
        <v>353</v>
      </c>
      <c r="C92" s="182"/>
      <c r="D92" s="182"/>
      <c r="E92" s="182"/>
      <c r="F92" s="182"/>
      <c r="G92" s="182"/>
      <c r="H92" s="182"/>
      <c r="I92" s="182"/>
      <c r="J92" s="182"/>
      <c r="K92" s="183"/>
      <c r="L92" s="153">
        <v>0</v>
      </c>
      <c r="M92" s="123">
        <v>0</v>
      </c>
      <c r="N92" s="124">
        <f t="shared" si="5"/>
        <v>0</v>
      </c>
    </row>
    <row r="93" spans="1:15">
      <c r="A93" s="57"/>
      <c r="B93" s="209" t="s">
        <v>247</v>
      </c>
      <c r="C93" s="210"/>
      <c r="D93" s="210"/>
      <c r="E93" s="210"/>
      <c r="F93" s="210"/>
      <c r="G93" s="210"/>
      <c r="H93" s="210"/>
      <c r="I93" s="210"/>
      <c r="J93" s="210"/>
      <c r="K93" s="277"/>
      <c r="L93" s="127">
        <f>IFERROR(SUMPRODUCT($M$11:$M$91,$L$11:$L$91)/SUM($M$11:$M$91),0)</f>
        <v>0</v>
      </c>
      <c r="M93" s="128">
        <f>C5-SUM(M11:M92)</f>
        <v>0</v>
      </c>
      <c r="N93" s="128">
        <f t="shared" si="5"/>
        <v>0</v>
      </c>
    </row>
    <row r="94" spans="1:15">
      <c r="A94" s="57"/>
      <c r="B94" s="209" t="s">
        <v>248</v>
      </c>
      <c r="C94" s="210"/>
      <c r="D94" s="210"/>
      <c r="E94" s="210"/>
      <c r="F94" s="210"/>
      <c r="G94" s="210"/>
      <c r="H94" s="210"/>
      <c r="I94" s="210"/>
      <c r="J94" s="210"/>
      <c r="K94" s="210"/>
      <c r="L94" s="277"/>
      <c r="M94" s="128">
        <f>SUM(M11:M93)</f>
        <v>0</v>
      </c>
      <c r="N94" s="128">
        <f>SUM(N9:N93)</f>
        <v>0</v>
      </c>
    </row>
    <row r="95" spans="1:15">
      <c r="A95" s="57"/>
      <c r="B95" s="209" t="s">
        <v>367</v>
      </c>
      <c r="C95" s="210"/>
      <c r="D95" s="210"/>
      <c r="E95" s="210"/>
      <c r="F95" s="210"/>
      <c r="G95" s="210"/>
      <c r="H95" s="210"/>
      <c r="I95" s="210"/>
      <c r="J95" s="210"/>
      <c r="K95" s="210"/>
      <c r="L95" s="277"/>
      <c r="M95" s="275" t="str">
        <f>IFERROR(IF(SUM(M11:M91)=0,"",IF(OR(COUNTIFS($M$11:$M$90,"&gt;"&amp;0)=80,M93=0),"Yes","No")),"No")</f>
        <v/>
      </c>
      <c r="N95" s="276"/>
    </row>
    <row r="96" spans="1:15" ht="14.65" customHeight="1">
      <c r="B96" s="112"/>
      <c r="C96" s="112"/>
      <c r="D96" s="112"/>
      <c r="E96" s="112"/>
      <c r="F96" s="112"/>
      <c r="G96" s="112"/>
      <c r="H96" s="112"/>
      <c r="I96" s="112"/>
      <c r="J96" s="112"/>
      <c r="K96" s="112"/>
      <c r="L96" s="112"/>
      <c r="M96" s="112"/>
    </row>
    <row r="97" spans="2:13" ht="15">
      <c r="B97" t="s">
        <v>249</v>
      </c>
      <c r="C97" s="112"/>
      <c r="D97" s="112"/>
      <c r="E97" s="112"/>
      <c r="F97" s="112"/>
      <c r="G97" s="112"/>
      <c r="H97" s="112"/>
      <c r="I97" s="112"/>
      <c r="J97" s="112"/>
      <c r="K97" s="112"/>
      <c r="L97" s="112"/>
      <c r="M97" s="112"/>
    </row>
    <row r="98" spans="2:13" ht="15">
      <c r="B98" t="s">
        <v>344</v>
      </c>
      <c r="C98" s="112"/>
      <c r="D98" s="112"/>
      <c r="E98" s="112"/>
      <c r="F98" s="112"/>
      <c r="G98" s="112"/>
      <c r="H98" s="112"/>
      <c r="I98" s="112"/>
      <c r="J98" s="112"/>
      <c r="K98" s="112"/>
      <c r="L98" s="112"/>
      <c r="M98" s="112"/>
    </row>
    <row r="99" spans="2:13" ht="15">
      <c r="B99" t="s">
        <v>345</v>
      </c>
      <c r="C99" s="112"/>
      <c r="D99" s="112"/>
      <c r="E99" s="112"/>
      <c r="F99" s="112"/>
      <c r="G99" s="112"/>
      <c r="H99" s="112"/>
      <c r="I99" s="112"/>
      <c r="J99" s="112"/>
      <c r="K99" s="112"/>
      <c r="L99" s="112"/>
      <c r="M99" s="112"/>
    </row>
    <row r="100" spans="2:13" ht="15">
      <c r="B100" t="s">
        <v>271</v>
      </c>
      <c r="C100" s="112"/>
      <c r="D100" s="112"/>
      <c r="E100" s="112"/>
      <c r="F100" s="112"/>
      <c r="G100" s="112"/>
      <c r="H100" s="112"/>
      <c r="I100" s="112"/>
      <c r="J100" s="112"/>
      <c r="K100" s="112"/>
      <c r="L100" s="112"/>
      <c r="M100" s="112"/>
    </row>
    <row r="101" spans="2:13" ht="15">
      <c r="B101" t="s">
        <v>272</v>
      </c>
      <c r="C101" s="112"/>
      <c r="D101" s="112"/>
      <c r="E101" s="112"/>
      <c r="F101" s="112"/>
      <c r="G101" s="112"/>
      <c r="H101" s="112"/>
      <c r="I101" s="112"/>
      <c r="J101" s="112"/>
      <c r="K101" s="112"/>
      <c r="L101" s="112"/>
      <c r="M101" s="112"/>
    </row>
    <row r="102" spans="2:13" ht="15">
      <c r="B102" t="s">
        <v>348</v>
      </c>
      <c r="C102" s="112"/>
      <c r="D102" s="112"/>
      <c r="E102" s="112"/>
      <c r="F102" s="112"/>
      <c r="G102" s="112"/>
      <c r="H102" s="112"/>
      <c r="I102" s="112"/>
      <c r="J102" s="112"/>
      <c r="K102" s="112"/>
      <c r="L102" s="112"/>
      <c r="M102" s="112"/>
    </row>
    <row r="103" spans="2:13" ht="15">
      <c r="B103" t="s">
        <v>351</v>
      </c>
    </row>
    <row r="104" spans="2:13" ht="15">
      <c r="B104" t="s">
        <v>357</v>
      </c>
    </row>
    <row r="105" spans="2:13" ht="15">
      <c r="B105" t="s">
        <v>358</v>
      </c>
    </row>
  </sheetData>
  <sheetProtection algorithmName="SHA-512" hashValue="wJ7pHbaFQeKXX+fM92BG7toRbXET+JZ2vUQPUYsUJkDKa731Vv5RckCcgHeVwDnj02nWDyd/iO7ZsAvNjRO73A==" saltValue="1gapQHh2LNE4+vYXYkSPgw==" spinCount="100000" sheet="1" objects="1" scenarios="1"/>
  <mergeCells count="9">
    <mergeCell ref="B4:C4"/>
    <mergeCell ref="B9:N9"/>
    <mergeCell ref="D5:E5"/>
    <mergeCell ref="M95:N95"/>
    <mergeCell ref="B95:L95"/>
    <mergeCell ref="B94:L94"/>
    <mergeCell ref="B93:K93"/>
    <mergeCell ref="B91:K91"/>
    <mergeCell ref="B92:K92"/>
  </mergeCells>
  <conditionalFormatting sqref="H11:H90">
    <cfRule type="expression" dxfId="0" priority="1">
      <formula>AND(F11="Goods",G11="Local")</formula>
    </cfRule>
  </conditionalFormatting>
  <dataValidations count="4">
    <dataValidation type="list" allowBlank="1" showInputMessage="1" showErrorMessage="1" sqref="F11:F90" xr:uid="{AFCDABCA-C863-4F5B-87CC-73E710856016}">
      <formula1>"Goods, Services"</formula1>
    </dataValidation>
    <dataValidation type="list" allowBlank="1" showInputMessage="1" showErrorMessage="1" sqref="G11:G90" xr:uid="{54B0119D-93E7-4E97-B901-C6AC10576BE3}">
      <formula1>"Local, Foreign"</formula1>
    </dataValidation>
    <dataValidation type="list" allowBlank="1" showInputMessage="1" showErrorMessage="1" sqref="B11:B90" xr:uid="{AA46D2E2-F82C-4843-902D-AFF15E52C346}">
      <formula1>$S$14:$S$24</formula1>
    </dataValidation>
    <dataValidation type="custom" showInputMessage="1" showErrorMessage="1" sqref="H11:H90" xr:uid="{495830D3-0FF8-4FF7-A1F7-7B8FB547F6DB}">
      <formula1>AND(F11="Goods",G11="Local")</formula1>
    </dataValidation>
  </dataValidations>
  <pageMargins left="0.7" right="0.7" top="0.75" bottom="0.75" header="0.3" footer="0.3"/>
  <pageSetup paperSize="9" orientation="portrait" r:id="rId1"/>
  <headerFooter>
    <oddHeader>&amp;C&amp;"Times New Roman,Regular"&amp;12&amp;K99CC00Public - عام</oddHeader>
    <evenHeader>&amp;C&amp;"Times New Roman,Regular"&amp;12&amp;K99CC00Public - عام</evenHeader>
    <firstHeader>&amp;C&amp;"Times New Roman,Regular"&amp;12&amp;K99CC00Public - عام</firstHeader>
  </headerFooter>
  <ignoredErrors>
    <ignoredError sqref="M95" formulaRange="1"/>
  </ignoredErrors>
  <extLst>
    <ext xmlns:x14="http://schemas.microsoft.com/office/spreadsheetml/2009/9/main" uri="{CCE6A557-97BC-4b89-ADB6-D9C93CAAB3DF}">
      <x14:dataValidations xmlns:xm="http://schemas.microsoft.com/office/excel/2006/main" count="1">
        <x14:dataValidation type="list" allowBlank="1" showInputMessage="1" showErrorMessage="1" xr:uid="{F7A31DC0-CDF4-4B3C-888F-B716A73443A6}">
          <x14:formula1>
            <xm:f>IF(AND(F11="Services",G11="Local"),'Appendix B'!$B$5:$B$26,IF(AND(F11="Goods",G11="Local"),'Appendix B'!$B$28:$B$41,IF((AND(F11="Services",G11="Foreign")),'Appendix B'!$B$27,'Appendix B'!$B$42)))</xm:f>
          </x14:formula1>
          <xm:sqref>I11:I90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autoPageBreaks="0"/>
  </sheetPr>
  <dimension ref="B1:Q33"/>
  <sheetViews>
    <sheetView showGridLines="0" zoomScaleNormal="100" workbookViewId="0"/>
  </sheetViews>
  <sheetFormatPr defaultColWidth="8.85546875" defaultRowHeight="15"/>
  <cols>
    <col min="1" max="1" width="4.42578125" customWidth="1"/>
    <col min="2" max="2" width="85.5703125" customWidth="1"/>
    <col min="3" max="3" width="64.85546875" customWidth="1"/>
    <col min="4" max="4" width="6.42578125" customWidth="1"/>
    <col min="5" max="10" width="14.42578125" customWidth="1"/>
  </cols>
  <sheetData>
    <row r="1" spans="2:17" ht="28.5">
      <c r="B1" s="3" t="s">
        <v>192</v>
      </c>
    </row>
    <row r="2" spans="2:17" ht="21" customHeight="1">
      <c r="B2" s="198" t="s">
        <v>217</v>
      </c>
      <c r="C2" s="198"/>
    </row>
    <row r="3" spans="2:17">
      <c r="B3" s="16" t="s">
        <v>26</v>
      </c>
      <c r="C3" s="131" t="str">
        <f>IF('Section 1. General Information'!$C$9:$D$9="","",'Section 1. General Information'!$C$9:$D$9)</f>
        <v/>
      </c>
    </row>
    <row r="4" spans="2:17">
      <c r="B4" s="16" t="s">
        <v>16</v>
      </c>
      <c r="C4" s="132" t="str">
        <f>IF('Section 1. General Information'!$C$4:$D$4="","",'Section 1. General Information'!$C$4:$D$4)</f>
        <v/>
      </c>
    </row>
    <row r="5" spans="2:17">
      <c r="B5" s="16" t="s">
        <v>17</v>
      </c>
      <c r="C5" s="133" t="str">
        <f>IF('Section 1. General Information'!$C$5:$D$5="","",'Section 1. General Information'!$C$5:$D$5)</f>
        <v/>
      </c>
    </row>
    <row r="6" spans="2:17">
      <c r="B6" s="16" t="s">
        <v>18</v>
      </c>
      <c r="C6" s="133" t="str">
        <f>IF('Section 1. General Information'!$C$6:$D$6="","",'Section 1. General Information'!$C$6:$D$6)</f>
        <v/>
      </c>
    </row>
    <row r="7" spans="2:17" ht="14.45" customHeight="1"/>
    <row r="8" spans="2:17" ht="21" customHeight="1">
      <c r="B8" s="279" t="s">
        <v>250</v>
      </c>
      <c r="C8" s="279"/>
      <c r="E8" s="2"/>
    </row>
    <row r="9" spans="2:17" ht="22.35" customHeight="1">
      <c r="B9" s="16" t="s">
        <v>256</v>
      </c>
      <c r="C9" s="134">
        <v>0</v>
      </c>
      <c r="E9" s="184"/>
      <c r="F9" s="184"/>
      <c r="G9" s="184"/>
      <c r="H9" s="184"/>
      <c r="I9" s="184"/>
      <c r="J9" s="184"/>
      <c r="K9" s="184"/>
      <c r="L9" s="184"/>
      <c r="M9" s="184"/>
      <c r="N9" s="184"/>
      <c r="O9" s="184"/>
      <c r="P9" s="184"/>
      <c r="Q9" s="184"/>
    </row>
    <row r="11" spans="2:17" ht="21" customHeight="1">
      <c r="B11" s="279" t="s">
        <v>251</v>
      </c>
      <c r="C11" s="279"/>
      <c r="E11" s="2"/>
    </row>
    <row r="12" spans="2:17" ht="22.35" customHeight="1">
      <c r="B12" s="16" t="s">
        <v>257</v>
      </c>
      <c r="C12" s="135">
        <v>0</v>
      </c>
      <c r="E12" s="184"/>
      <c r="F12" s="184"/>
      <c r="G12" s="184"/>
      <c r="H12" s="184"/>
      <c r="I12" s="184"/>
      <c r="J12" s="184"/>
      <c r="K12" s="184"/>
      <c r="L12" s="184"/>
      <c r="M12" s="184"/>
      <c r="N12" s="184"/>
      <c r="O12" s="184"/>
      <c r="P12" s="184"/>
      <c r="Q12" s="184"/>
    </row>
    <row r="14" spans="2:17" ht="21" customHeight="1">
      <c r="B14" s="279" t="s">
        <v>252</v>
      </c>
      <c r="C14" s="279"/>
      <c r="E14" s="2"/>
    </row>
    <row r="15" spans="2:17" ht="22.35" customHeight="1">
      <c r="B15" s="16" t="s">
        <v>258</v>
      </c>
      <c r="C15" s="135">
        <v>0</v>
      </c>
      <c r="E15" s="184"/>
      <c r="F15" s="184"/>
      <c r="G15" s="184"/>
      <c r="H15" s="184"/>
      <c r="I15" s="184"/>
      <c r="J15" s="184"/>
      <c r="K15" s="184"/>
      <c r="L15" s="184"/>
      <c r="M15" s="184"/>
      <c r="N15" s="184"/>
      <c r="O15" s="184"/>
      <c r="P15" s="184"/>
      <c r="Q15" s="184"/>
    </row>
    <row r="16" spans="2:17" ht="21.95" customHeight="1">
      <c r="B16" s="16" t="s">
        <v>36</v>
      </c>
      <c r="C16" s="135">
        <v>0</v>
      </c>
      <c r="D16" s="136"/>
    </row>
    <row r="17" spans="2:5" ht="21.95" customHeight="1">
      <c r="B17" s="16" t="s">
        <v>136</v>
      </c>
      <c r="C17" s="46">
        <f>IFERROR(IF((C15/C16)&gt;=2%,10%,10%*((C15/C16)/2%)),0)</f>
        <v>0</v>
      </c>
      <c r="D17" s="48"/>
      <c r="E17" s="47"/>
    </row>
    <row r="18" spans="2:5">
      <c r="B18" s="38"/>
      <c r="C18" s="137"/>
      <c r="D18" s="137"/>
    </row>
    <row r="19" spans="2:5">
      <c r="B19" t="s">
        <v>253</v>
      </c>
      <c r="C19" s="138"/>
    </row>
    <row r="20" spans="2:5">
      <c r="B20" t="s">
        <v>254</v>
      </c>
    </row>
    <row r="21" spans="2:5">
      <c r="B21" t="s">
        <v>255</v>
      </c>
    </row>
    <row r="33" spans="2:3" ht="21">
      <c r="B33" s="278"/>
      <c r="C33" s="278"/>
    </row>
  </sheetData>
  <sheetProtection algorithmName="SHA-512" hashValue="VwdKozx2WCxLCx/MFlO0ucaWXlfZUnwD5SpMuEAXUPTiDuFlBb5JRHz0ma7QD5OBVxJffMOAW9HMDbvEMI5qew==" saltValue="tYhNhFRvxqwqLg5cJ+9jHw==" spinCount="100000" sheet="1" objects="1" scenarios="1"/>
  <customSheetViews>
    <customSheetView guid="{475135EF-B9F1-482D-ABF1-1E525C0245D4}" scale="60" showGridLines="0">
      <selection activeCell="B1" sqref="B1"/>
      <pageMargins left="0" right="0" top="0" bottom="0" header="0" footer="0"/>
      <pageSetup paperSize="9" orientation="portrait" r:id="rId1"/>
    </customSheetView>
  </customSheetViews>
  <mergeCells count="8">
    <mergeCell ref="B33:C33"/>
    <mergeCell ref="B14:C14"/>
    <mergeCell ref="B11:C11"/>
    <mergeCell ref="B2:C2"/>
    <mergeCell ref="E9:Q9"/>
    <mergeCell ref="E12:Q12"/>
    <mergeCell ref="E15:Q15"/>
    <mergeCell ref="B8:C8"/>
  </mergeCells>
  <dataValidations count="2">
    <dataValidation type="decimal" operator="greaterThanOrEqual" allowBlank="1" showInputMessage="1" showErrorMessage="1" sqref="C9 C12 C15:C16" xr:uid="{00000000-0002-0000-0500-000000000000}">
      <formula1>0</formula1>
    </dataValidation>
    <dataValidation type="decimal" operator="greaterThan" allowBlank="1" showInputMessage="1" showErrorMessage="1" sqref="F16:F18" xr:uid="{00000000-0002-0000-0500-000001000000}">
      <formula1>0</formula1>
    </dataValidation>
  </dataValidations>
  <pageMargins left="0.7" right="0.7" top="0.75" bottom="0.75" header="0.3" footer="0.3"/>
  <pageSetup paperSize="9" orientation="portrait" r:id="rId2"/>
  <headerFooter>
    <oddHeader>&amp;C&amp;"Times New Roman,Regular"&amp;12&amp;K99CC00Public - عام</oddHeader>
    <evenHeader>&amp;C&amp;"Times New Roman,Regular"&amp;12&amp;K99CC00Public - عام</evenHeader>
    <firstHeader>&amp;C&amp;"Times New Roman,Regular"&amp;12&amp;K99CC00Public - عام</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83DB8-793F-4DB9-B711-575392AF8EE2}">
  <sheetPr>
    <pageSetUpPr autoPageBreaks="0"/>
  </sheetPr>
  <dimension ref="A1:P37"/>
  <sheetViews>
    <sheetView showGridLines="0" zoomScaleNormal="100" workbookViewId="0"/>
  </sheetViews>
  <sheetFormatPr defaultColWidth="8.85546875" defaultRowHeight="15"/>
  <cols>
    <col min="1" max="1" width="4.42578125" customWidth="1"/>
    <col min="2" max="2" width="59" bestFit="1" customWidth="1"/>
    <col min="3" max="3" width="95.140625" bestFit="1" customWidth="1"/>
    <col min="4" max="4" width="41" customWidth="1"/>
    <col min="5" max="5" width="42.42578125" customWidth="1"/>
    <col min="6" max="6" width="38.5703125" customWidth="1"/>
    <col min="7" max="9" width="14.42578125" customWidth="1"/>
  </cols>
  <sheetData>
    <row r="1" spans="1:16" ht="28.5">
      <c r="B1" s="3" t="s">
        <v>193</v>
      </c>
    </row>
    <row r="2" spans="1:16" ht="21" customHeight="1">
      <c r="B2" s="8" t="s">
        <v>217</v>
      </c>
      <c r="C2" s="8"/>
      <c r="D2" s="1"/>
      <c r="E2" s="1"/>
      <c r="F2" s="1"/>
    </row>
    <row r="3" spans="1:16">
      <c r="B3" s="16" t="s">
        <v>26</v>
      </c>
      <c r="C3" s="163" t="str">
        <f>IF('Section 1. General Information'!$C$9:$D$9="","",'Section 1. General Information'!$C$9:$D$9)</f>
        <v/>
      </c>
      <c r="D3" s="1"/>
      <c r="E3" s="1"/>
      <c r="F3" s="1"/>
    </row>
    <row r="4" spans="1:16">
      <c r="B4" s="16" t="s">
        <v>16</v>
      </c>
      <c r="C4" s="164" t="str">
        <f>IF('Section 1. General Information'!$C$4:$D$4="","",'Section 1. General Information'!$C$4:$D$4)</f>
        <v/>
      </c>
      <c r="D4" s="1"/>
      <c r="E4" s="1"/>
      <c r="F4" s="1"/>
    </row>
    <row r="5" spans="1:16">
      <c r="B5" s="16" t="s">
        <v>17</v>
      </c>
      <c r="C5" s="165" t="str">
        <f>IF('Section 1. General Information'!$C$5:$D$5="","",'Section 1. General Information'!$C$5:$D$5)</f>
        <v/>
      </c>
      <c r="D5" s="1"/>
      <c r="E5" s="1"/>
      <c r="F5" s="1"/>
    </row>
    <row r="6" spans="1:16">
      <c r="B6" s="16" t="s">
        <v>18</v>
      </c>
      <c r="C6" s="165" t="str">
        <f>IF('Section 1. General Information'!$C$6:$D$6="","",'Section 1. General Information'!$C$6:$D$6)</f>
        <v/>
      </c>
      <c r="D6" s="1"/>
      <c r="E6" s="1"/>
      <c r="F6" s="1"/>
    </row>
    <row r="7" spans="1:16" ht="14.45" customHeight="1">
      <c r="B7" s="1"/>
      <c r="C7" s="1"/>
      <c r="D7" s="1"/>
      <c r="E7" s="1"/>
      <c r="F7" s="1"/>
    </row>
    <row r="8" spans="1:16" ht="21" customHeight="1">
      <c r="B8" s="8" t="s">
        <v>259</v>
      </c>
      <c r="C8" s="8"/>
      <c r="D8" s="1"/>
      <c r="E8" s="1"/>
      <c r="F8" s="1"/>
    </row>
    <row r="9" spans="1:16" ht="22.35" customHeight="1">
      <c r="B9" s="16" t="s">
        <v>37</v>
      </c>
      <c r="C9" s="162">
        <v>0</v>
      </c>
      <c r="D9" s="1"/>
      <c r="E9" s="1"/>
      <c r="F9" s="1"/>
      <c r="G9" s="92"/>
      <c r="H9" s="92"/>
      <c r="I9" s="92"/>
      <c r="J9" s="92"/>
      <c r="K9" s="92"/>
      <c r="L9" s="92"/>
      <c r="M9" s="92"/>
      <c r="N9" s="92"/>
      <c r="O9" s="92"/>
      <c r="P9" s="92"/>
    </row>
    <row r="10" spans="1:16" ht="22.35" customHeight="1">
      <c r="B10" s="16" t="s">
        <v>298</v>
      </c>
      <c r="C10" s="170">
        <f>F29</f>
        <v>0</v>
      </c>
      <c r="D10" s="1"/>
      <c r="E10" s="1"/>
      <c r="F10" s="1"/>
      <c r="G10" s="92"/>
      <c r="H10" s="92"/>
      <c r="I10" s="92"/>
      <c r="J10" s="92"/>
      <c r="K10" s="92"/>
      <c r="L10" s="92"/>
      <c r="M10" s="92"/>
      <c r="N10" s="92"/>
      <c r="O10" s="92"/>
      <c r="P10" s="92"/>
    </row>
    <row r="11" spans="1:16" ht="22.35" customHeight="1">
      <c r="B11" s="155" t="s">
        <v>299</v>
      </c>
      <c r="C11" s="171">
        <f>IFERROR(C10/C9,0)</f>
        <v>0</v>
      </c>
      <c r="D11" s="1"/>
      <c r="E11" s="1"/>
      <c r="F11" s="1"/>
      <c r="G11" s="92"/>
      <c r="H11" s="92"/>
      <c r="I11" s="92"/>
      <c r="J11" s="92"/>
      <c r="K11" s="92"/>
      <c r="L11" s="92"/>
      <c r="M11" s="92"/>
      <c r="N11" s="92"/>
      <c r="O11" s="92"/>
      <c r="P11" s="92"/>
    </row>
    <row r="12" spans="1:16">
      <c r="B12" s="1"/>
      <c r="C12" s="1"/>
      <c r="D12" s="1"/>
      <c r="E12" s="1"/>
      <c r="F12" s="1"/>
    </row>
    <row r="13" spans="1:16" ht="21" customHeight="1">
      <c r="B13" s="282" t="s">
        <v>260</v>
      </c>
      <c r="C13" s="282"/>
      <c r="D13" s="282"/>
      <c r="E13" s="282"/>
      <c r="F13" s="282"/>
    </row>
    <row r="14" spans="1:16" ht="31.5" customHeight="1">
      <c r="B14" s="280" t="s">
        <v>261</v>
      </c>
      <c r="C14" s="280" t="s">
        <v>262</v>
      </c>
      <c r="D14" s="24" t="s">
        <v>300</v>
      </c>
      <c r="E14" s="24" t="s">
        <v>301</v>
      </c>
      <c r="F14" s="280" t="s">
        <v>302</v>
      </c>
      <c r="G14" s="92"/>
      <c r="H14" s="92"/>
      <c r="I14" s="92"/>
      <c r="J14" s="92"/>
      <c r="K14" s="92"/>
      <c r="L14" s="92"/>
      <c r="M14" s="92"/>
      <c r="N14" s="92"/>
      <c r="O14" s="92"/>
      <c r="P14" s="92"/>
    </row>
    <row r="15" spans="1:16" ht="36.75" customHeight="1">
      <c r="B15" s="281"/>
      <c r="C15" s="281"/>
      <c r="D15" s="24" t="s">
        <v>360</v>
      </c>
      <c r="E15" s="24" t="s">
        <v>360</v>
      </c>
      <c r="F15" s="281"/>
      <c r="G15" s="92"/>
      <c r="H15" s="92"/>
      <c r="I15" s="92"/>
      <c r="J15" s="92"/>
      <c r="K15" s="92"/>
      <c r="L15" s="92"/>
      <c r="M15" s="92"/>
      <c r="N15" s="92"/>
      <c r="O15" s="92"/>
      <c r="P15" s="92"/>
    </row>
    <row r="16" spans="1:16" ht="17.25">
      <c r="A16" s="93">
        <v>1</v>
      </c>
      <c r="B16" s="139" t="s">
        <v>303</v>
      </c>
      <c r="C16" s="30" t="s">
        <v>194</v>
      </c>
      <c r="D16" s="283">
        <v>0</v>
      </c>
      <c r="E16" s="284"/>
      <c r="F16" s="140">
        <f>D16*100%</f>
        <v>0</v>
      </c>
    </row>
    <row r="17" spans="1:16" ht="21" customHeight="1">
      <c r="A17" s="93">
        <f>A16+1</f>
        <v>2</v>
      </c>
      <c r="B17" s="30" t="s">
        <v>305</v>
      </c>
      <c r="C17" s="30" t="s">
        <v>38</v>
      </c>
      <c r="D17" s="90">
        <v>0</v>
      </c>
      <c r="E17" s="90">
        <v>0</v>
      </c>
      <c r="F17" s="140">
        <f>(D17*100%)+(E17*30%)</f>
        <v>0</v>
      </c>
      <c r="G17" s="169" t="str">
        <f>IF(D17&gt;1%*'Section 2. Evaluation'!$C$17,"Need to be tested","")</f>
        <v/>
      </c>
    </row>
    <row r="18" spans="1:16" ht="22.35" customHeight="1">
      <c r="A18" s="93">
        <f t="shared" ref="A18:A28" si="0">A17+1</f>
        <v>3</v>
      </c>
      <c r="B18" s="30" t="s">
        <v>306</v>
      </c>
      <c r="C18" s="30" t="s">
        <v>195</v>
      </c>
      <c r="D18" s="90">
        <v>0</v>
      </c>
      <c r="E18" s="90">
        <v>0</v>
      </c>
      <c r="F18" s="140">
        <f t="shared" ref="F18:F28" si="1">(D18*100%)+(E18*30%)</f>
        <v>0</v>
      </c>
      <c r="G18" s="169" t="str">
        <f>IF(D18&gt;1%*'Section 2. Evaluation'!$C$17,"Need to be tested","")</f>
        <v/>
      </c>
      <c r="H18" s="92"/>
      <c r="I18" s="92"/>
      <c r="J18" s="92"/>
      <c r="K18" s="92"/>
      <c r="L18" s="92"/>
      <c r="M18" s="92"/>
      <c r="N18" s="92"/>
      <c r="O18" s="92"/>
      <c r="P18" s="92"/>
    </row>
    <row r="19" spans="1:16" ht="21.95" customHeight="1">
      <c r="A19" s="93">
        <f t="shared" si="0"/>
        <v>4</v>
      </c>
      <c r="B19" s="30" t="s">
        <v>148</v>
      </c>
      <c r="C19" s="30" t="s">
        <v>156</v>
      </c>
      <c r="D19" s="90">
        <v>0</v>
      </c>
      <c r="E19" s="90">
        <v>0</v>
      </c>
      <c r="F19" s="140">
        <f t="shared" si="1"/>
        <v>0</v>
      </c>
      <c r="G19" s="169" t="str">
        <f>IF(D19&gt;1%*'Section 2. Evaluation'!$C$17,"Need to be tested","")</f>
        <v/>
      </c>
    </row>
    <row r="20" spans="1:16" ht="21.95" customHeight="1">
      <c r="A20" s="93">
        <f t="shared" si="0"/>
        <v>5</v>
      </c>
      <c r="B20" s="30" t="s">
        <v>307</v>
      </c>
      <c r="C20" s="30" t="s">
        <v>308</v>
      </c>
      <c r="D20" s="90">
        <v>0</v>
      </c>
      <c r="E20" s="90">
        <v>0</v>
      </c>
      <c r="F20" s="140">
        <f t="shared" si="1"/>
        <v>0</v>
      </c>
      <c r="G20" s="169" t="str">
        <f>IF(D20&gt;1%*'Section 2. Evaluation'!$C$17,"Need to be tested","")</f>
        <v/>
      </c>
    </row>
    <row r="21" spans="1:16">
      <c r="A21" s="93">
        <f t="shared" si="0"/>
        <v>6</v>
      </c>
      <c r="B21" s="30" t="s">
        <v>309</v>
      </c>
      <c r="C21" s="30" t="s">
        <v>310</v>
      </c>
      <c r="D21" s="90">
        <v>0</v>
      </c>
      <c r="E21" s="90">
        <v>0</v>
      </c>
      <c r="F21" s="140">
        <f t="shared" si="1"/>
        <v>0</v>
      </c>
      <c r="G21" s="169" t="str">
        <f>IF(D21&gt;1%*'Section 2. Evaluation'!$C$17,"Need to be tested","")</f>
        <v/>
      </c>
    </row>
    <row r="22" spans="1:16">
      <c r="A22" s="93">
        <f t="shared" si="0"/>
        <v>7</v>
      </c>
      <c r="B22" s="30" t="s">
        <v>312</v>
      </c>
      <c r="C22" s="30" t="s">
        <v>311</v>
      </c>
      <c r="D22" s="90">
        <v>0</v>
      </c>
      <c r="E22" s="90">
        <v>0</v>
      </c>
      <c r="F22" s="140">
        <f t="shared" si="1"/>
        <v>0</v>
      </c>
      <c r="G22" s="169" t="str">
        <f>IF(D22&gt;1%*'Section 2. Evaluation'!$C$17,"Need to be tested","")</f>
        <v/>
      </c>
    </row>
    <row r="23" spans="1:16">
      <c r="A23" s="93">
        <f t="shared" si="0"/>
        <v>8</v>
      </c>
      <c r="B23" s="30" t="s">
        <v>313</v>
      </c>
      <c r="C23" s="30" t="s">
        <v>314</v>
      </c>
      <c r="D23" s="90">
        <v>0</v>
      </c>
      <c r="E23" s="90">
        <v>0</v>
      </c>
      <c r="F23" s="140">
        <f t="shared" si="1"/>
        <v>0</v>
      </c>
      <c r="G23" s="169" t="str">
        <f>IF(D23&gt;1%*'Section 2. Evaluation'!$C$17,"Need to be tested","")</f>
        <v/>
      </c>
    </row>
    <row r="24" spans="1:16">
      <c r="A24" s="93">
        <f t="shared" si="0"/>
        <v>9</v>
      </c>
      <c r="B24" s="141" t="s">
        <v>315</v>
      </c>
      <c r="C24" s="141" t="s">
        <v>40</v>
      </c>
      <c r="D24" s="90">
        <v>0</v>
      </c>
      <c r="E24" s="90">
        <v>0</v>
      </c>
      <c r="F24" s="140">
        <f t="shared" si="1"/>
        <v>0</v>
      </c>
      <c r="G24" s="169" t="str">
        <f>IF(D24&gt;1%*'Section 2. Evaluation'!$C$17,"Need to be tested","")</f>
        <v/>
      </c>
    </row>
    <row r="25" spans="1:16">
      <c r="A25" s="93">
        <f t="shared" si="0"/>
        <v>10</v>
      </c>
      <c r="B25" s="141" t="s">
        <v>315</v>
      </c>
      <c r="C25" s="141" t="s">
        <v>40</v>
      </c>
      <c r="D25" s="90">
        <v>0</v>
      </c>
      <c r="E25" s="90">
        <v>0</v>
      </c>
      <c r="F25" s="140">
        <f t="shared" si="1"/>
        <v>0</v>
      </c>
      <c r="G25" s="169" t="str">
        <f>IF(D25&gt;1%*'Section 2. Evaluation'!$C$17,"Need to be tested","")</f>
        <v/>
      </c>
    </row>
    <row r="26" spans="1:16">
      <c r="A26" s="93">
        <f t="shared" si="0"/>
        <v>11</v>
      </c>
      <c r="B26" s="141" t="s">
        <v>315</v>
      </c>
      <c r="C26" s="141" t="s">
        <v>40</v>
      </c>
      <c r="D26" s="90">
        <v>0</v>
      </c>
      <c r="E26" s="90">
        <v>0</v>
      </c>
      <c r="F26" s="140">
        <f t="shared" si="1"/>
        <v>0</v>
      </c>
      <c r="G26" s="169" t="str">
        <f>IF(D26&gt;1%*'Section 2. Evaluation'!$C$17,"Need to be tested","")</f>
        <v/>
      </c>
    </row>
    <row r="27" spans="1:16">
      <c r="A27" s="93">
        <f t="shared" si="0"/>
        <v>12</v>
      </c>
      <c r="B27" s="141" t="s">
        <v>315</v>
      </c>
      <c r="C27" s="141" t="s">
        <v>40</v>
      </c>
      <c r="D27" s="90">
        <v>0</v>
      </c>
      <c r="E27" s="90">
        <v>0</v>
      </c>
      <c r="F27" s="140">
        <f t="shared" si="1"/>
        <v>0</v>
      </c>
      <c r="G27" s="169" t="str">
        <f>IF(D27&gt;1%*'Section 2. Evaluation'!$C$17,"Need to be tested","")</f>
        <v/>
      </c>
    </row>
    <row r="28" spans="1:16">
      <c r="A28" s="93">
        <f t="shared" si="0"/>
        <v>13</v>
      </c>
      <c r="B28" s="141" t="s">
        <v>315</v>
      </c>
      <c r="C28" s="141" t="s">
        <v>40</v>
      </c>
      <c r="D28" s="90">
        <v>0</v>
      </c>
      <c r="E28" s="90">
        <v>0</v>
      </c>
      <c r="F28" s="140">
        <f t="shared" si="1"/>
        <v>0</v>
      </c>
      <c r="G28" s="169" t="str">
        <f>IF(D28&gt;1%*'Section 2. Evaluation'!$C$17,"Need to be tested","")</f>
        <v/>
      </c>
    </row>
    <row r="29" spans="1:16">
      <c r="B29" s="181" t="s">
        <v>41</v>
      </c>
      <c r="C29" s="183"/>
      <c r="D29" s="157">
        <f>SUM(D16:D28)</f>
        <v>0</v>
      </c>
      <c r="E29" s="157">
        <f>SUM(E17:E28)</f>
        <v>0</v>
      </c>
      <c r="F29" s="157">
        <f>SUM(F16:F28)</f>
        <v>0</v>
      </c>
    </row>
    <row r="31" spans="1:16">
      <c r="B31" t="s">
        <v>368</v>
      </c>
    </row>
    <row r="32" spans="1:16">
      <c r="B32" t="s">
        <v>304</v>
      </c>
    </row>
    <row r="37" spans="2:3" ht="21">
      <c r="B37" s="156"/>
      <c r="C37" s="156"/>
    </row>
  </sheetData>
  <sheetProtection algorithmName="SHA-512" hashValue="A6Cn2N0fkLYd+TC9GXIKtoqdds7yZ8Pqal9URLJovDFsTLG32mK4Aaouta1z1y7qWz2B60gGNZ8QNvwojYE6AA==" saltValue="BdOD6CnCElJb1IcRM0+cJg==" spinCount="100000" sheet="1" objects="1" scenarios="1"/>
  <mergeCells count="6">
    <mergeCell ref="B14:B15"/>
    <mergeCell ref="B13:F13"/>
    <mergeCell ref="B29:C29"/>
    <mergeCell ref="D16:E16"/>
    <mergeCell ref="F14:F15"/>
    <mergeCell ref="C14:C15"/>
  </mergeCells>
  <dataValidations count="1">
    <dataValidation type="decimal" operator="greaterThan" allowBlank="1" showInputMessage="1" showErrorMessage="1" sqref="C9:C11 D16:D28 E17:E28" xr:uid="{54CD2A95-7603-44B0-9730-B9AE94C566EF}">
      <formula1>-1</formula1>
    </dataValidation>
  </dataValidations>
  <pageMargins left="0.7" right="0.7" top="0.75" bottom="0.75" header="0.3" footer="0.3"/>
  <pageSetup paperSize="9" orientation="portrait" r:id="rId1"/>
  <headerFooter>
    <oddHeader>&amp;C&amp;"Times New Roman,Regular"&amp;12&amp;K99CC00Public - عام</oddHeader>
    <evenHeader>&amp;C&amp;"Times New Roman,Regular"&amp;12&amp;K99CC00Public - عام</evenHeader>
    <firstHeader>&amp;C&amp;"Times New Roman,Regular"&amp;12&amp;K99CC00Public - عام</firstHeader>
  </headerFooter>
  <ignoredErrors>
    <ignoredError sqref="C10:C11" unlockedFormula="1"/>
    <ignoredError sqref="E29"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Z53"/>
  <sheetViews>
    <sheetView showGridLines="0" zoomScaleNormal="100" workbookViewId="0"/>
  </sheetViews>
  <sheetFormatPr defaultColWidth="8.85546875" defaultRowHeight="15"/>
  <cols>
    <col min="1" max="1" width="4.42578125" customWidth="1"/>
    <col min="2" max="2" width="34.140625" customWidth="1"/>
    <col min="3" max="3" width="33" customWidth="1"/>
    <col min="4" max="4" width="30.42578125" customWidth="1"/>
    <col min="5" max="5" width="53" customWidth="1"/>
    <col min="6" max="6" width="59.85546875" customWidth="1"/>
    <col min="7" max="7" width="29.85546875" customWidth="1"/>
    <col min="8" max="8" width="11.140625" customWidth="1"/>
    <col min="9" max="9" width="9.140625" bestFit="1" customWidth="1"/>
    <col min="10" max="10" width="8.42578125" bestFit="1" customWidth="1"/>
    <col min="11" max="11" width="24" customWidth="1"/>
    <col min="12" max="12" width="23.42578125" customWidth="1"/>
  </cols>
  <sheetData>
    <row r="1" spans="2:26" ht="28.5">
      <c r="B1" s="285" t="s">
        <v>329</v>
      </c>
      <c r="C1" s="285"/>
      <c r="D1" s="285"/>
    </row>
    <row r="2" spans="2:26" ht="21" customHeight="1">
      <c r="B2" s="282" t="s">
        <v>42</v>
      </c>
      <c r="C2" s="282"/>
      <c r="D2" s="282"/>
      <c r="E2" s="282"/>
      <c r="F2" s="8"/>
      <c r="L2" s="1"/>
      <c r="N2" s="4"/>
      <c r="O2" s="4"/>
      <c r="P2" s="4"/>
      <c r="Q2" s="4"/>
      <c r="R2" s="4"/>
      <c r="S2" s="4"/>
      <c r="T2" s="4"/>
      <c r="U2" s="4"/>
      <c r="V2" s="4"/>
      <c r="W2" s="4"/>
      <c r="X2" s="4"/>
      <c r="Y2" s="4"/>
      <c r="Z2" s="4"/>
    </row>
    <row r="3" spans="2:26" ht="16.350000000000001" customHeight="1">
      <c r="B3" s="288" t="s">
        <v>43</v>
      </c>
      <c r="C3" s="289"/>
      <c r="D3" s="289"/>
      <c r="E3" s="290"/>
      <c r="F3" s="5">
        <v>0</v>
      </c>
      <c r="L3" s="1"/>
      <c r="N3" s="4"/>
      <c r="O3" s="4"/>
      <c r="P3" s="4"/>
      <c r="Q3" s="4"/>
      <c r="R3" s="4"/>
      <c r="S3" s="4"/>
      <c r="T3" s="4"/>
      <c r="U3" s="4"/>
      <c r="V3" s="4"/>
      <c r="W3" s="4"/>
      <c r="X3" s="4"/>
      <c r="Y3" s="4"/>
      <c r="Z3" s="4"/>
    </row>
    <row r="4" spans="2:26" ht="16.350000000000001" customHeight="1">
      <c r="B4" s="288" t="s">
        <v>44</v>
      </c>
      <c r="C4" s="289"/>
      <c r="D4" s="289"/>
      <c r="E4" s="290"/>
      <c r="F4" s="5">
        <v>0</v>
      </c>
      <c r="L4" s="1"/>
      <c r="N4" s="4"/>
      <c r="O4" s="4"/>
      <c r="P4" s="4"/>
      <c r="Q4" s="4"/>
      <c r="R4" s="4"/>
      <c r="S4" s="4"/>
      <c r="T4" s="4"/>
      <c r="U4" s="4"/>
      <c r="V4" s="4"/>
      <c r="W4" s="4"/>
      <c r="X4" s="4"/>
      <c r="Y4" s="4"/>
      <c r="Z4" s="4"/>
    </row>
    <row r="5" spans="2:26" ht="16.350000000000001" customHeight="1">
      <c r="B5" s="288" t="s">
        <v>45</v>
      </c>
      <c r="C5" s="289"/>
      <c r="D5" s="289"/>
      <c r="E5" s="290"/>
      <c r="F5" s="5">
        <v>0</v>
      </c>
      <c r="L5" s="1"/>
      <c r="N5" s="4"/>
      <c r="O5" s="4"/>
      <c r="P5" s="4"/>
      <c r="Q5" s="4"/>
      <c r="R5" s="4"/>
      <c r="S5" s="4"/>
      <c r="T5" s="4"/>
      <c r="U5" s="4"/>
      <c r="V5" s="4"/>
      <c r="W5" s="4"/>
      <c r="X5" s="4"/>
      <c r="Y5" s="4"/>
      <c r="Z5" s="4"/>
    </row>
    <row r="6" spans="2:26" ht="16.350000000000001" customHeight="1">
      <c r="B6" s="288" t="s">
        <v>46</v>
      </c>
      <c r="C6" s="289"/>
      <c r="D6" s="289"/>
      <c r="E6" s="290"/>
      <c r="F6" s="5">
        <v>0</v>
      </c>
      <c r="L6" s="1"/>
      <c r="N6" s="4"/>
      <c r="O6" s="4"/>
      <c r="P6" s="4"/>
      <c r="Q6" s="4"/>
      <c r="R6" s="4"/>
      <c r="S6" s="4"/>
      <c r="T6" s="4"/>
      <c r="U6" s="4"/>
      <c r="V6" s="4"/>
      <c r="W6" s="4"/>
      <c r="X6" s="4"/>
      <c r="Y6" s="4"/>
      <c r="Z6" s="4"/>
    </row>
    <row r="7" spans="2:26" ht="16.350000000000001" customHeight="1">
      <c r="B7" s="288" t="s">
        <v>50</v>
      </c>
      <c r="C7" s="289"/>
      <c r="D7" s="289"/>
      <c r="E7" s="290"/>
      <c r="F7" s="5">
        <v>0</v>
      </c>
      <c r="L7" s="1"/>
      <c r="N7" s="4"/>
      <c r="O7" s="4"/>
      <c r="P7" s="4"/>
      <c r="Q7" s="4"/>
      <c r="R7" s="4"/>
      <c r="S7" s="4"/>
      <c r="T7" s="4"/>
      <c r="U7" s="4"/>
      <c r="V7" s="4"/>
      <c r="W7" s="4"/>
      <c r="X7" s="4"/>
      <c r="Y7" s="4"/>
      <c r="Z7" s="4"/>
    </row>
    <row r="8" spans="2:26" ht="16.350000000000001" customHeight="1">
      <c r="B8" s="308" t="s">
        <v>47</v>
      </c>
      <c r="C8" s="309"/>
      <c r="D8" s="309"/>
      <c r="E8" s="310"/>
      <c r="F8" s="5">
        <v>0</v>
      </c>
      <c r="L8" s="1"/>
      <c r="N8" s="4"/>
      <c r="O8" s="4"/>
      <c r="P8" s="4"/>
      <c r="Q8" s="4"/>
      <c r="R8" s="4"/>
      <c r="S8" s="4"/>
      <c r="T8" s="4"/>
      <c r="U8" s="4"/>
      <c r="V8" s="4"/>
      <c r="W8" s="4"/>
      <c r="X8" s="4"/>
      <c r="Y8" s="4"/>
      <c r="Z8" s="4"/>
    </row>
    <row r="9" spans="2:26" ht="16.350000000000001" customHeight="1">
      <c r="B9" s="311" t="s">
        <v>48</v>
      </c>
      <c r="C9" s="312"/>
      <c r="D9" s="312"/>
      <c r="E9" s="313"/>
      <c r="F9" s="36">
        <f>SUM(F3:F8)</f>
        <v>0</v>
      </c>
      <c r="L9" s="1"/>
      <c r="N9" s="4"/>
      <c r="O9" s="4"/>
      <c r="P9" s="4"/>
      <c r="Q9" s="4"/>
      <c r="R9" s="4"/>
      <c r="S9" s="4"/>
      <c r="T9" s="4"/>
      <c r="U9" s="4"/>
      <c r="V9" s="4"/>
      <c r="W9" s="4"/>
      <c r="X9" s="4"/>
      <c r="Y9" s="4"/>
      <c r="Z9" s="4"/>
    </row>
    <row r="10" spans="2:26" ht="16.350000000000001" customHeight="1">
      <c r="D10" s="38"/>
      <c r="E10" s="38"/>
      <c r="L10" s="1"/>
      <c r="N10" s="4"/>
      <c r="O10" s="4"/>
      <c r="P10" s="4"/>
      <c r="Q10" s="4"/>
      <c r="R10" s="4"/>
      <c r="S10" s="4"/>
      <c r="T10" s="4"/>
      <c r="U10" s="4"/>
      <c r="V10" s="4"/>
      <c r="W10" s="4"/>
      <c r="X10" s="4"/>
      <c r="Y10" s="4"/>
      <c r="Z10" s="4"/>
    </row>
    <row r="11" spans="2:26" ht="17.45" customHeight="1">
      <c r="B11" s="198" t="s">
        <v>49</v>
      </c>
      <c r="C11" s="198"/>
      <c r="D11" s="198"/>
      <c r="E11" s="198"/>
      <c r="F11" s="198"/>
      <c r="L11" s="1"/>
      <c r="N11" s="4"/>
      <c r="O11" s="4"/>
      <c r="P11" s="4"/>
      <c r="Q11" s="4"/>
      <c r="R11" s="4"/>
      <c r="S11" s="4"/>
      <c r="T11" s="4"/>
      <c r="U11" s="4"/>
      <c r="V11" s="4"/>
      <c r="W11" s="4"/>
      <c r="X11" s="4"/>
      <c r="Y11" s="4"/>
      <c r="Z11" s="4"/>
    </row>
    <row r="12" spans="2:26" ht="16.350000000000001" customHeight="1">
      <c r="B12" s="288" t="s">
        <v>11</v>
      </c>
      <c r="C12" s="289"/>
      <c r="D12" s="289"/>
      <c r="E12" s="290"/>
      <c r="F12" s="30">
        <f>'Section 3. Labor'!E10</f>
        <v>0</v>
      </c>
      <c r="L12" s="1"/>
      <c r="N12" s="4"/>
      <c r="O12" s="4"/>
      <c r="P12" s="4"/>
      <c r="Q12" s="4"/>
      <c r="R12" s="4"/>
      <c r="S12" s="4"/>
      <c r="T12" s="4"/>
      <c r="U12" s="4"/>
      <c r="V12" s="4"/>
      <c r="W12" s="4"/>
      <c r="X12" s="4"/>
      <c r="Y12" s="4"/>
      <c r="Z12" s="4"/>
    </row>
    <row r="13" spans="2:26" ht="16.350000000000001" customHeight="1">
      <c r="B13" s="288" t="s">
        <v>172</v>
      </c>
      <c r="C13" s="289"/>
      <c r="D13" s="289"/>
      <c r="E13" s="290"/>
      <c r="F13" s="30">
        <f>'Section 6. Capacity Building'!C9+'Section 6. Capacity Building'!C12+'Section 6. Capacity Building'!C15</f>
        <v>0</v>
      </c>
      <c r="L13" s="1"/>
      <c r="N13" s="4"/>
      <c r="O13" s="4"/>
      <c r="P13" s="4"/>
      <c r="Q13" s="4"/>
      <c r="R13" s="4"/>
      <c r="S13" s="4"/>
      <c r="T13" s="4"/>
      <c r="U13" s="4"/>
      <c r="V13" s="4"/>
      <c r="W13" s="4"/>
      <c r="X13" s="4"/>
      <c r="Y13" s="4"/>
      <c r="Z13" s="4"/>
    </row>
    <row r="14" spans="2:26" ht="16.350000000000001" customHeight="1">
      <c r="B14" s="288" t="s">
        <v>173</v>
      </c>
      <c r="C14" s="289"/>
      <c r="D14" s="289"/>
      <c r="E14" s="290"/>
      <c r="F14" s="30">
        <f>'Section 7. Depreciation &amp; Amor.'!D29+'Section 7. Depreciation &amp; Amor.'!E29</f>
        <v>0</v>
      </c>
      <c r="L14" s="1"/>
      <c r="N14" s="4"/>
      <c r="O14" s="4"/>
      <c r="P14" s="4"/>
      <c r="Q14" s="4"/>
      <c r="R14" s="4"/>
      <c r="S14" s="4"/>
      <c r="T14" s="4"/>
      <c r="U14" s="4"/>
      <c r="V14" s="4"/>
      <c r="W14" s="4"/>
      <c r="X14" s="4"/>
      <c r="Y14" s="4"/>
      <c r="Z14" s="4"/>
    </row>
    <row r="15" spans="2:26" ht="16.350000000000001" customHeight="1">
      <c r="B15" s="288" t="s">
        <v>50</v>
      </c>
      <c r="C15" s="289"/>
      <c r="D15" s="289"/>
      <c r="E15" s="290"/>
      <c r="F15" s="30">
        <f>F7</f>
        <v>0</v>
      </c>
      <c r="L15" s="1"/>
      <c r="N15" s="4"/>
      <c r="O15" s="4"/>
      <c r="P15" s="4"/>
      <c r="Q15" s="4"/>
      <c r="R15" s="4"/>
      <c r="S15" s="4"/>
      <c r="T15" s="4"/>
      <c r="U15" s="4"/>
      <c r="V15" s="4"/>
      <c r="W15" s="4"/>
      <c r="X15" s="4"/>
      <c r="Y15" s="4"/>
      <c r="Z15" s="4"/>
    </row>
    <row r="16" spans="2:26" ht="16.350000000000001" customHeight="1">
      <c r="B16" s="288" t="s">
        <v>51</v>
      </c>
      <c r="C16" s="289"/>
      <c r="D16" s="289"/>
      <c r="E16" s="290"/>
      <c r="F16" s="5">
        <v>0</v>
      </c>
      <c r="L16" s="1"/>
      <c r="N16" s="4"/>
      <c r="O16" s="4"/>
      <c r="P16" s="4"/>
      <c r="Q16" s="4"/>
      <c r="R16" s="4"/>
      <c r="S16" s="4"/>
      <c r="T16" s="4"/>
      <c r="U16" s="4"/>
      <c r="V16" s="4"/>
      <c r="W16" s="4"/>
      <c r="X16" s="4"/>
      <c r="Y16" s="4"/>
      <c r="Z16" s="4"/>
    </row>
    <row r="17" spans="1:26" ht="16.350000000000001" customHeight="1">
      <c r="B17" s="288" t="s">
        <v>144</v>
      </c>
      <c r="C17" s="289"/>
      <c r="D17" s="289"/>
      <c r="E17" s="290"/>
      <c r="F17" s="5">
        <v>0</v>
      </c>
      <c r="L17" s="1"/>
      <c r="N17" s="4"/>
      <c r="O17" s="4"/>
      <c r="P17" s="4"/>
      <c r="Q17" s="4"/>
      <c r="R17" s="4"/>
      <c r="S17" s="4"/>
      <c r="T17" s="4"/>
      <c r="U17" s="4"/>
      <c r="V17" s="4"/>
      <c r="W17" s="4"/>
      <c r="X17" s="4"/>
      <c r="Y17" s="4"/>
      <c r="Z17" s="4"/>
    </row>
    <row r="18" spans="1:26" ht="16.350000000000001" customHeight="1">
      <c r="B18" s="288" t="s">
        <v>52</v>
      </c>
      <c r="C18" s="289"/>
      <c r="D18" s="289"/>
      <c r="E18" s="290"/>
      <c r="F18" s="5">
        <v>0</v>
      </c>
      <c r="L18" s="1"/>
      <c r="N18" s="4"/>
      <c r="O18" s="4"/>
      <c r="P18" s="4"/>
      <c r="Q18" s="4"/>
      <c r="R18" s="4"/>
      <c r="S18" s="4"/>
      <c r="T18" s="4"/>
      <c r="U18" s="4"/>
      <c r="V18" s="4"/>
      <c r="W18" s="4"/>
      <c r="X18" s="4"/>
      <c r="Y18" s="4"/>
      <c r="Z18" s="4"/>
    </row>
    <row r="19" spans="1:26" ht="16.350000000000001" customHeight="1">
      <c r="B19" s="288" t="s">
        <v>145</v>
      </c>
      <c r="C19" s="289"/>
      <c r="D19" s="289"/>
      <c r="E19" s="290"/>
      <c r="F19" s="5">
        <v>0</v>
      </c>
      <c r="L19" s="1"/>
      <c r="N19" s="4"/>
      <c r="O19" s="4"/>
      <c r="P19" s="4"/>
      <c r="Q19" s="4"/>
      <c r="R19" s="4"/>
      <c r="S19" s="4"/>
      <c r="T19" s="4"/>
      <c r="U19" s="4"/>
      <c r="V19" s="4"/>
      <c r="W19" s="4"/>
      <c r="X19" s="4"/>
      <c r="Y19" s="4"/>
      <c r="Z19" s="4"/>
    </row>
    <row r="20" spans="1:26" ht="16.350000000000001" customHeight="1">
      <c r="B20" s="294" t="s">
        <v>53</v>
      </c>
      <c r="C20" s="302"/>
      <c r="D20" s="302"/>
      <c r="E20" s="295"/>
      <c r="F20" s="5">
        <v>0</v>
      </c>
      <c r="L20" s="1"/>
      <c r="N20" s="4"/>
      <c r="O20" s="4"/>
      <c r="P20" s="4"/>
      <c r="Q20" s="4"/>
      <c r="R20" s="4"/>
      <c r="S20" s="4"/>
      <c r="T20" s="4"/>
      <c r="U20" s="4"/>
      <c r="V20" s="4"/>
      <c r="W20" s="4"/>
      <c r="X20" s="4"/>
      <c r="Y20" s="4"/>
      <c r="Z20" s="4"/>
    </row>
    <row r="21" spans="1:26" ht="16.350000000000001" customHeight="1">
      <c r="B21" s="294" t="s">
        <v>53</v>
      </c>
      <c r="C21" s="302"/>
      <c r="D21" s="302"/>
      <c r="E21" s="295"/>
      <c r="F21" s="5">
        <v>0</v>
      </c>
      <c r="L21" s="1"/>
      <c r="N21" s="4"/>
      <c r="O21" s="4"/>
      <c r="P21" s="4"/>
      <c r="Q21" s="4"/>
      <c r="R21" s="4"/>
      <c r="S21" s="4"/>
      <c r="T21" s="4"/>
      <c r="U21" s="4"/>
      <c r="V21" s="4"/>
      <c r="W21" s="4"/>
      <c r="X21" s="4"/>
      <c r="Y21" s="4"/>
      <c r="Z21" s="4"/>
    </row>
    <row r="22" spans="1:26" ht="16.350000000000001" customHeight="1">
      <c r="B22" s="294" t="s">
        <v>53</v>
      </c>
      <c r="C22" s="302"/>
      <c r="D22" s="302"/>
      <c r="E22" s="295"/>
      <c r="F22" s="5">
        <v>0</v>
      </c>
      <c r="L22" s="1"/>
      <c r="N22" s="4"/>
      <c r="O22" s="4"/>
      <c r="P22" s="4"/>
      <c r="Q22" s="4"/>
      <c r="R22" s="4"/>
      <c r="S22" s="4"/>
      <c r="T22" s="4"/>
      <c r="U22" s="4"/>
      <c r="V22" s="4"/>
      <c r="W22" s="4"/>
      <c r="X22" s="4"/>
      <c r="Y22" s="4"/>
      <c r="Z22" s="4"/>
    </row>
    <row r="23" spans="1:26" ht="16.350000000000001" customHeight="1">
      <c r="B23" s="294" t="s">
        <v>53</v>
      </c>
      <c r="C23" s="302"/>
      <c r="D23" s="302"/>
      <c r="E23" s="295"/>
      <c r="F23" s="5">
        <v>0</v>
      </c>
      <c r="L23" s="1"/>
      <c r="N23" s="4"/>
      <c r="O23" s="4"/>
      <c r="P23" s="4"/>
      <c r="Q23" s="4"/>
      <c r="R23" s="4"/>
      <c r="S23" s="4"/>
      <c r="T23" s="4"/>
      <c r="U23" s="4"/>
      <c r="V23" s="4"/>
      <c r="W23" s="4"/>
      <c r="X23" s="4"/>
      <c r="Y23" s="4"/>
      <c r="Z23" s="4"/>
    </row>
    <row r="24" spans="1:26" ht="16.350000000000001" customHeight="1">
      <c r="B24" s="294" t="s">
        <v>53</v>
      </c>
      <c r="C24" s="302"/>
      <c r="D24" s="302"/>
      <c r="E24" s="295"/>
      <c r="F24" s="5">
        <v>0</v>
      </c>
      <c r="L24" s="1"/>
      <c r="N24" s="4"/>
      <c r="O24" s="4"/>
      <c r="P24" s="4"/>
      <c r="Q24" s="4"/>
      <c r="R24" s="4"/>
      <c r="S24" s="4"/>
      <c r="T24" s="4"/>
      <c r="U24" s="4"/>
      <c r="V24" s="4"/>
      <c r="W24" s="4"/>
      <c r="X24" s="4"/>
      <c r="Y24" s="4"/>
      <c r="Z24" s="4"/>
    </row>
    <row r="25" spans="1:26" ht="16.350000000000001" customHeight="1">
      <c r="B25" s="294" t="s">
        <v>53</v>
      </c>
      <c r="C25" s="302"/>
      <c r="D25" s="302"/>
      <c r="E25" s="295"/>
      <c r="F25" s="5">
        <v>0</v>
      </c>
      <c r="L25" s="1"/>
      <c r="N25" s="4"/>
      <c r="O25" s="4"/>
      <c r="P25" s="4"/>
      <c r="Q25" s="4"/>
      <c r="R25" s="4"/>
      <c r="S25" s="4"/>
      <c r="T25" s="4"/>
      <c r="U25" s="4"/>
      <c r="V25" s="4"/>
      <c r="W25" s="4"/>
      <c r="X25" s="4"/>
      <c r="Y25" s="4"/>
      <c r="Z25" s="4"/>
    </row>
    <row r="26" spans="1:26" ht="16.350000000000001" customHeight="1">
      <c r="B26" s="303" t="s">
        <v>54</v>
      </c>
      <c r="C26" s="304"/>
      <c r="D26" s="304"/>
      <c r="E26" s="305"/>
      <c r="F26" s="36">
        <f>SUM(F12:F25)</f>
        <v>0</v>
      </c>
      <c r="L26" s="1"/>
      <c r="N26" s="4"/>
      <c r="O26" s="4"/>
      <c r="P26" s="4"/>
      <c r="Q26" s="4"/>
      <c r="R26" s="4"/>
      <c r="S26" s="4"/>
      <c r="T26" s="4"/>
      <c r="U26" s="4"/>
      <c r="V26" s="4"/>
      <c r="W26" s="4"/>
      <c r="X26" s="4"/>
      <c r="Y26" s="4"/>
      <c r="Z26" s="4"/>
    </row>
    <row r="27" spans="1:26" ht="16.350000000000001" customHeight="1">
      <c r="B27" s="306" t="s">
        <v>196</v>
      </c>
      <c r="C27" s="307"/>
      <c r="D27" s="307"/>
      <c r="E27" s="307"/>
      <c r="F27" s="37">
        <f>F9-F26</f>
        <v>0</v>
      </c>
      <c r="G27" s="41" t="str">
        <f>IF(F27='Section 4. Goods and Services'!F9, "","Not match Section 4")</f>
        <v/>
      </c>
      <c r="L27" s="1"/>
      <c r="N27" s="4"/>
      <c r="O27" s="4"/>
      <c r="P27" s="4"/>
      <c r="Q27" s="4"/>
      <c r="R27" s="4"/>
      <c r="S27" s="4"/>
      <c r="T27" s="4"/>
      <c r="U27" s="4"/>
      <c r="V27" s="4"/>
      <c r="W27" s="4"/>
      <c r="X27" s="4"/>
      <c r="Y27" s="4"/>
      <c r="Z27" s="4"/>
    </row>
    <row r="28" spans="1:26" ht="16.350000000000001" customHeight="1">
      <c r="B28" s="38"/>
      <c r="C28" s="38"/>
      <c r="D28" s="38"/>
      <c r="E28" s="38"/>
      <c r="F28" s="39"/>
      <c r="L28" s="1"/>
      <c r="N28" s="4"/>
      <c r="O28" s="4"/>
      <c r="P28" s="4"/>
      <c r="Q28" s="4"/>
      <c r="R28" s="4"/>
      <c r="S28" s="4"/>
      <c r="T28" s="4"/>
      <c r="U28" s="4"/>
      <c r="V28" s="4"/>
      <c r="W28" s="4"/>
      <c r="X28" s="4"/>
      <c r="Y28" s="4"/>
      <c r="Z28" s="4"/>
    </row>
    <row r="29" spans="1:26" ht="22.5" customHeight="1">
      <c r="B29" s="198" t="s">
        <v>316</v>
      </c>
      <c r="C29" s="198"/>
      <c r="D29" s="198"/>
      <c r="E29" s="198"/>
      <c r="F29" s="198"/>
      <c r="L29" s="1"/>
      <c r="N29" s="4"/>
      <c r="O29" s="4"/>
      <c r="P29" s="4"/>
      <c r="Q29" s="4"/>
      <c r="R29" s="4"/>
      <c r="S29" s="4"/>
      <c r="T29" s="4"/>
      <c r="U29" s="4"/>
      <c r="V29" s="4"/>
      <c r="W29" s="4"/>
      <c r="X29" s="4"/>
      <c r="Y29" s="4"/>
      <c r="Z29" s="4"/>
    </row>
    <row r="30" spans="1:26" ht="24.75" customHeight="1">
      <c r="B30" s="291" t="s">
        <v>317</v>
      </c>
      <c r="C30" s="292"/>
      <c r="D30" s="292"/>
      <c r="E30" s="292"/>
      <c r="F30" s="293"/>
    </row>
    <row r="31" spans="1:26" ht="51.75" customHeight="1">
      <c r="A31" s="93"/>
      <c r="B31" s="286" t="s">
        <v>318</v>
      </c>
      <c r="C31" s="287"/>
      <c r="D31" s="159" t="s">
        <v>370</v>
      </c>
      <c r="E31" s="159" t="s">
        <v>330</v>
      </c>
      <c r="F31" s="160" t="s">
        <v>36</v>
      </c>
    </row>
    <row r="32" spans="1:26">
      <c r="A32" s="93">
        <v>1</v>
      </c>
      <c r="B32" s="294"/>
      <c r="C32" s="295"/>
      <c r="D32" s="150"/>
      <c r="E32" s="158"/>
      <c r="F32" s="90">
        <v>0</v>
      </c>
    </row>
    <row r="33" spans="1:6">
      <c r="A33" s="93">
        <v>2</v>
      </c>
      <c r="B33" s="294"/>
      <c r="C33" s="295"/>
      <c r="D33" s="150"/>
      <c r="E33" s="158"/>
      <c r="F33" s="90">
        <v>0</v>
      </c>
    </row>
    <row r="34" spans="1:6">
      <c r="A34" s="93">
        <v>3</v>
      </c>
      <c r="B34" s="294"/>
      <c r="C34" s="295"/>
      <c r="D34" s="150"/>
      <c r="E34" s="158"/>
      <c r="F34" s="90">
        <v>0</v>
      </c>
    </row>
    <row r="35" spans="1:6">
      <c r="A35" s="93">
        <v>4</v>
      </c>
      <c r="B35" s="294"/>
      <c r="C35" s="295"/>
      <c r="D35" s="150"/>
      <c r="E35" s="158"/>
      <c r="F35" s="90">
        <v>0</v>
      </c>
    </row>
    <row r="36" spans="1:6">
      <c r="A36" s="93">
        <v>5</v>
      </c>
      <c r="B36" s="294"/>
      <c r="C36" s="295"/>
      <c r="D36" s="150"/>
      <c r="E36" s="158"/>
      <c r="F36" s="90">
        <v>0</v>
      </c>
    </row>
    <row r="37" spans="1:6">
      <c r="A37" s="93">
        <v>6</v>
      </c>
      <c r="B37" s="294"/>
      <c r="C37" s="295"/>
      <c r="D37" s="150"/>
      <c r="E37" s="158"/>
      <c r="F37" s="90">
        <v>0</v>
      </c>
    </row>
    <row r="38" spans="1:6">
      <c r="A38" s="93">
        <v>7</v>
      </c>
      <c r="B38" s="294"/>
      <c r="C38" s="295"/>
      <c r="D38" s="150"/>
      <c r="E38" s="158"/>
      <c r="F38" s="90">
        <v>0</v>
      </c>
    </row>
    <row r="39" spans="1:6">
      <c r="A39" s="93">
        <v>8</v>
      </c>
      <c r="B39" s="294"/>
      <c r="C39" s="295"/>
      <c r="D39" s="150"/>
      <c r="E39" s="158"/>
      <c r="F39" s="90">
        <v>0</v>
      </c>
    </row>
    <row r="40" spans="1:6">
      <c r="A40" s="93">
        <v>9</v>
      </c>
      <c r="B40" s="294"/>
      <c r="C40" s="295"/>
      <c r="D40" s="150"/>
      <c r="E40" s="158"/>
      <c r="F40" s="90">
        <v>0</v>
      </c>
    </row>
    <row r="41" spans="1:6">
      <c r="A41" s="93">
        <v>10</v>
      </c>
      <c r="B41" s="294"/>
      <c r="C41" s="295"/>
      <c r="D41" s="150"/>
      <c r="E41" s="158"/>
      <c r="F41" s="90">
        <v>0</v>
      </c>
    </row>
    <row r="42" spans="1:6" ht="24.75" customHeight="1">
      <c r="B42" s="291" t="s">
        <v>319</v>
      </c>
      <c r="C42" s="292"/>
      <c r="D42" s="292"/>
      <c r="E42" s="292"/>
      <c r="F42" s="293"/>
    </row>
    <row r="43" spans="1:6" ht="33.75" customHeight="1">
      <c r="B43" s="288" t="s">
        <v>36</v>
      </c>
      <c r="C43" s="289"/>
      <c r="D43" s="289"/>
      <c r="E43" s="290"/>
      <c r="F43" s="90">
        <v>0</v>
      </c>
    </row>
    <row r="44" spans="1:6" ht="29.25" customHeight="1">
      <c r="B44" s="288" t="s">
        <v>322</v>
      </c>
      <c r="C44" s="289"/>
      <c r="D44" s="289"/>
      <c r="E44" s="290"/>
      <c r="F44" s="90">
        <v>0</v>
      </c>
    </row>
    <row r="45" spans="1:6" ht="24.75" customHeight="1">
      <c r="B45" s="291" t="s">
        <v>320</v>
      </c>
      <c r="C45" s="292"/>
      <c r="D45" s="292"/>
      <c r="E45" s="292"/>
      <c r="F45" s="293"/>
    </row>
    <row r="46" spans="1:6" ht="26.25" customHeight="1">
      <c r="B46" s="288" t="s">
        <v>321</v>
      </c>
      <c r="C46" s="289"/>
      <c r="D46" s="289"/>
      <c r="E46" s="290"/>
      <c r="F46" s="90">
        <v>0</v>
      </c>
    </row>
    <row r="47" spans="1:6" ht="29.25" customHeight="1">
      <c r="B47" s="296" t="s">
        <v>323</v>
      </c>
      <c r="C47" s="297"/>
      <c r="D47" s="297"/>
      <c r="E47" s="298"/>
      <c r="F47" s="172">
        <f>IFERROR(IF((F46/(F43*0.3)*0.1)&gt;=10%,"10%",(F46/(F43*0.3)*0.1)),0)</f>
        <v>0</v>
      </c>
    </row>
    <row r="48" spans="1:6" ht="24.75" customHeight="1">
      <c r="B48" s="291" t="s">
        <v>325</v>
      </c>
      <c r="C48" s="292"/>
      <c r="D48" s="292"/>
      <c r="E48" s="292"/>
      <c r="F48" s="293"/>
    </row>
    <row r="49" spans="2:6" ht="30" customHeight="1">
      <c r="B49" s="296" t="s">
        <v>326</v>
      </c>
      <c r="C49" s="297"/>
      <c r="D49" s="297"/>
      <c r="E49" s="298"/>
      <c r="F49" s="90">
        <v>0</v>
      </c>
    </row>
    <row r="50" spans="2:6" ht="30.75" customHeight="1">
      <c r="B50" s="299" t="s">
        <v>327</v>
      </c>
      <c r="C50" s="300"/>
      <c r="D50" s="300"/>
      <c r="E50" s="301"/>
      <c r="F50" s="90">
        <v>0</v>
      </c>
    </row>
    <row r="51" spans="2:6" ht="30.75" customHeight="1">
      <c r="B51" s="299" t="s">
        <v>328</v>
      </c>
      <c r="C51" s="300"/>
      <c r="D51" s="300"/>
      <c r="E51" s="301"/>
      <c r="F51" s="90">
        <v>0</v>
      </c>
    </row>
    <row r="53" spans="2:6">
      <c r="B53" t="s">
        <v>324</v>
      </c>
    </row>
  </sheetData>
  <sheetProtection algorithmName="SHA-512" hashValue="mJPLEBgSUC2SPYkPourea796Mf9Xs6pL8lUNl+cCgiSvQHGHq/lP/GpvEPP5m8AmNcr5UGnHXqQy959DPU/PqQ==" saltValue="pqTO0DV5rXuTQbLPzQP5yw==" spinCount="100000" sheet="1" objects="1" scenarios="1"/>
  <mergeCells count="49">
    <mergeCell ref="B11:F11"/>
    <mergeCell ref="B2:E2"/>
    <mergeCell ref="B3:E3"/>
    <mergeCell ref="B4:E4"/>
    <mergeCell ref="B5:E5"/>
    <mergeCell ref="B6:E6"/>
    <mergeCell ref="B8:E8"/>
    <mergeCell ref="B9:E9"/>
    <mergeCell ref="B7:E7"/>
    <mergeCell ref="B12:E12"/>
    <mergeCell ref="B13:E13"/>
    <mergeCell ref="B14:E14"/>
    <mergeCell ref="B15:E15"/>
    <mergeCell ref="B16:E16"/>
    <mergeCell ref="B20:E20"/>
    <mergeCell ref="B21:E21"/>
    <mergeCell ref="B22:E22"/>
    <mergeCell ref="B25:E25"/>
    <mergeCell ref="B17:E17"/>
    <mergeCell ref="B18:E18"/>
    <mergeCell ref="B19:E19"/>
    <mergeCell ref="B40:C40"/>
    <mergeCell ref="B41:C41"/>
    <mergeCell ref="B29:F29"/>
    <mergeCell ref="B23:E23"/>
    <mergeCell ref="B26:E26"/>
    <mergeCell ref="B27:E27"/>
    <mergeCell ref="B24:E24"/>
    <mergeCell ref="B47:E47"/>
    <mergeCell ref="B48:F48"/>
    <mergeCell ref="B49:E49"/>
    <mergeCell ref="B50:E50"/>
    <mergeCell ref="B51:E51"/>
    <mergeCell ref="B1:D1"/>
    <mergeCell ref="B31:C31"/>
    <mergeCell ref="B44:E44"/>
    <mergeCell ref="B45:F45"/>
    <mergeCell ref="B46:E46"/>
    <mergeCell ref="B32:C32"/>
    <mergeCell ref="B33:C33"/>
    <mergeCell ref="B34:C34"/>
    <mergeCell ref="B35:C35"/>
    <mergeCell ref="B36:C36"/>
    <mergeCell ref="B43:E43"/>
    <mergeCell ref="B30:F30"/>
    <mergeCell ref="B42:F42"/>
    <mergeCell ref="B37:C37"/>
    <mergeCell ref="B38:C38"/>
    <mergeCell ref="B39:C39"/>
  </mergeCells>
  <pageMargins left="0.7" right="0.7" top="0.75" bottom="0.75" header="0.3" footer="0.3"/>
  <pageSetup paperSize="9" orientation="portrait" r:id="rId1"/>
  <headerFooter>
    <oddHeader>&amp;C&amp;"Times New Roman,Regular"&amp;12&amp;K99CC00Public - عام</oddHeader>
    <evenHeader>&amp;C&amp;"Times New Roman,Regular"&amp;12&amp;K99CC00Public - عام</evenHeader>
    <firstHeader>&amp;C&amp;"Times New Roman,Regular"&amp;12&amp;K99CC00Public - عام</firstHeader>
  </headerFooter>
  <ignoredErrors>
    <ignoredError sqref="F47"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autoPageBreaks="0" fitToPage="1"/>
  </sheetPr>
  <dimension ref="B1:G42"/>
  <sheetViews>
    <sheetView showGridLines="0" zoomScaleNormal="100" workbookViewId="0"/>
  </sheetViews>
  <sheetFormatPr defaultColWidth="8.85546875" defaultRowHeight="15"/>
  <cols>
    <col min="1" max="1" width="5.140625" customWidth="1"/>
    <col min="2" max="2" width="92.140625" bestFit="1" customWidth="1"/>
    <col min="3" max="3" width="13.42578125" customWidth="1"/>
    <col min="4" max="4" width="249.42578125" customWidth="1"/>
    <col min="5" max="5" width="64.5703125" bestFit="1" customWidth="1"/>
    <col min="6" max="15" width="11.5703125" customWidth="1"/>
  </cols>
  <sheetData>
    <row r="1" spans="2:5" ht="28.5">
      <c r="B1" s="3" t="s">
        <v>55</v>
      </c>
    </row>
    <row r="2" spans="2:5" ht="18" customHeight="1">
      <c r="B2" s="9" t="s">
        <v>56</v>
      </c>
      <c r="C2" s="9"/>
      <c r="D2" s="10"/>
      <c r="E2" s="14"/>
    </row>
    <row r="3" spans="2:5" ht="21">
      <c r="B3" s="11" t="s">
        <v>57</v>
      </c>
      <c r="C3" s="12"/>
      <c r="D3" s="13"/>
      <c r="E3" s="14"/>
    </row>
    <row r="4" spans="2:5" ht="45">
      <c r="B4" s="31" t="s">
        <v>58</v>
      </c>
      <c r="C4" s="29" t="s">
        <v>27</v>
      </c>
      <c r="D4" s="29" t="s">
        <v>8</v>
      </c>
      <c r="E4" s="32" t="s">
        <v>263</v>
      </c>
    </row>
    <row r="5" spans="2:5">
      <c r="B5" s="49" t="s">
        <v>157</v>
      </c>
      <c r="C5" s="96">
        <v>0.6</v>
      </c>
      <c r="D5" s="33" t="s">
        <v>184</v>
      </c>
      <c r="E5" s="34" t="s">
        <v>166</v>
      </c>
    </row>
    <row r="6" spans="2:5">
      <c r="B6" s="49" t="s">
        <v>59</v>
      </c>
      <c r="C6" s="96">
        <v>0.4</v>
      </c>
      <c r="D6" s="33" t="s">
        <v>60</v>
      </c>
      <c r="E6" s="34">
        <v>56</v>
      </c>
    </row>
    <row r="7" spans="2:5">
      <c r="B7" s="49" t="s">
        <v>61</v>
      </c>
      <c r="C7" s="96">
        <v>0.36</v>
      </c>
      <c r="D7" s="33" t="s">
        <v>158</v>
      </c>
      <c r="E7" s="34" t="s">
        <v>186</v>
      </c>
    </row>
    <row r="8" spans="2:5">
      <c r="B8" s="49" t="s">
        <v>62</v>
      </c>
      <c r="C8" s="96">
        <v>0.82</v>
      </c>
      <c r="D8" s="33" t="s">
        <v>63</v>
      </c>
      <c r="E8" s="34" t="s">
        <v>64</v>
      </c>
    </row>
    <row r="9" spans="2:5">
      <c r="B9" s="49" t="s">
        <v>65</v>
      </c>
      <c r="C9" s="96">
        <v>0.5</v>
      </c>
      <c r="D9" s="33" t="s">
        <v>66</v>
      </c>
      <c r="E9" s="34" t="s">
        <v>67</v>
      </c>
    </row>
    <row r="10" spans="2:5">
      <c r="B10" s="49" t="s">
        <v>68</v>
      </c>
      <c r="C10" s="96">
        <v>0.2</v>
      </c>
      <c r="D10" s="33" t="s">
        <v>69</v>
      </c>
      <c r="E10" s="34" t="s">
        <v>67</v>
      </c>
    </row>
    <row r="11" spans="2:5">
      <c r="B11" s="49" t="s">
        <v>70</v>
      </c>
      <c r="C11" s="96">
        <v>0.48</v>
      </c>
      <c r="D11" s="33" t="s">
        <v>71</v>
      </c>
      <c r="E11" s="34" t="s">
        <v>72</v>
      </c>
    </row>
    <row r="12" spans="2:5">
      <c r="B12" s="49" t="s">
        <v>73</v>
      </c>
      <c r="C12" s="96">
        <v>0.4</v>
      </c>
      <c r="D12" s="33" t="s">
        <v>159</v>
      </c>
      <c r="E12" s="34" t="s">
        <v>74</v>
      </c>
    </row>
    <row r="13" spans="2:5">
      <c r="B13" s="49" t="s">
        <v>75</v>
      </c>
      <c r="C13" s="96">
        <v>0.66</v>
      </c>
      <c r="D13" s="33" t="s">
        <v>76</v>
      </c>
      <c r="E13" s="34" t="s">
        <v>77</v>
      </c>
    </row>
    <row r="14" spans="2:5">
      <c r="B14" s="49" t="s">
        <v>78</v>
      </c>
      <c r="C14" s="96">
        <v>0.75</v>
      </c>
      <c r="D14" s="33" t="s">
        <v>185</v>
      </c>
      <c r="E14" s="34" t="s">
        <v>187</v>
      </c>
    </row>
    <row r="15" spans="2:5">
      <c r="B15" s="50" t="s">
        <v>79</v>
      </c>
      <c r="C15" s="96">
        <v>0.38</v>
      </c>
      <c r="D15" s="33" t="s">
        <v>80</v>
      </c>
      <c r="E15" s="34" t="s">
        <v>81</v>
      </c>
    </row>
    <row r="16" spans="2:5">
      <c r="B16" s="51" t="s">
        <v>82</v>
      </c>
      <c r="C16" s="96">
        <v>0.69</v>
      </c>
      <c r="D16" s="52" t="s">
        <v>160</v>
      </c>
      <c r="E16" s="34" t="s">
        <v>188</v>
      </c>
    </row>
    <row r="17" spans="2:7" ht="15.6" customHeight="1">
      <c r="B17" s="49" t="s">
        <v>83</v>
      </c>
      <c r="C17" s="142">
        <v>0.45</v>
      </c>
      <c r="D17" s="35" t="s">
        <v>84</v>
      </c>
      <c r="E17" s="34" t="s">
        <v>85</v>
      </c>
    </row>
    <row r="18" spans="2:7">
      <c r="B18" s="51" t="s">
        <v>86</v>
      </c>
      <c r="C18" s="142">
        <v>0.3</v>
      </c>
      <c r="D18" s="143" t="s">
        <v>87</v>
      </c>
      <c r="E18" s="144" t="s">
        <v>88</v>
      </c>
    </row>
    <row r="19" spans="2:7">
      <c r="B19" s="49" t="s">
        <v>89</v>
      </c>
      <c r="C19" s="96">
        <v>0.2</v>
      </c>
      <c r="D19" s="33" t="s">
        <v>161</v>
      </c>
      <c r="E19" s="34" t="s">
        <v>88</v>
      </c>
    </row>
    <row r="20" spans="2:7">
      <c r="B20" s="49" t="s">
        <v>90</v>
      </c>
      <c r="C20" s="96">
        <v>0.3</v>
      </c>
      <c r="D20" s="33" t="s">
        <v>91</v>
      </c>
      <c r="E20" s="34" t="s">
        <v>189</v>
      </c>
    </row>
    <row r="21" spans="2:7">
      <c r="B21" s="49" t="s">
        <v>178</v>
      </c>
      <c r="C21" s="96">
        <v>0.35</v>
      </c>
      <c r="D21" s="33" t="s">
        <v>92</v>
      </c>
      <c r="E21" s="34" t="s">
        <v>93</v>
      </c>
    </row>
    <row r="22" spans="2:7">
      <c r="B22" s="49" t="s">
        <v>179</v>
      </c>
      <c r="C22" s="96">
        <v>0.59</v>
      </c>
      <c r="D22" s="33" t="s">
        <v>265</v>
      </c>
      <c r="E22" s="34" t="s">
        <v>190</v>
      </c>
    </row>
    <row r="23" spans="2:7">
      <c r="B23" s="49" t="s">
        <v>180</v>
      </c>
      <c r="C23" s="96">
        <v>0.41</v>
      </c>
      <c r="D23" s="33" t="s">
        <v>94</v>
      </c>
      <c r="E23" s="34" t="s">
        <v>167</v>
      </c>
    </row>
    <row r="24" spans="2:7" ht="15.6" customHeight="1">
      <c r="B24" s="49" t="s">
        <v>181</v>
      </c>
      <c r="C24" s="96">
        <v>0.35</v>
      </c>
      <c r="D24" s="33" t="s">
        <v>95</v>
      </c>
      <c r="E24" s="34" t="s">
        <v>168</v>
      </c>
    </row>
    <row r="25" spans="2:7" ht="15" customHeight="1">
      <c r="B25" s="49" t="s">
        <v>182</v>
      </c>
      <c r="C25" s="96">
        <v>0.61</v>
      </c>
      <c r="D25" s="35" t="s">
        <v>162</v>
      </c>
      <c r="E25" s="34" t="s">
        <v>191</v>
      </c>
    </row>
    <row r="26" spans="2:7">
      <c r="B26" s="49" t="s">
        <v>96</v>
      </c>
      <c r="C26" s="96">
        <v>0.05</v>
      </c>
      <c r="D26" s="35" t="s">
        <v>97</v>
      </c>
      <c r="E26" s="34" t="s">
        <v>98</v>
      </c>
      <c r="G26" s="1"/>
    </row>
    <row r="27" spans="2:7">
      <c r="B27" s="49" t="s">
        <v>99</v>
      </c>
      <c r="C27" s="96">
        <v>0</v>
      </c>
      <c r="D27" s="33" t="s">
        <v>100</v>
      </c>
      <c r="E27" s="34" t="s">
        <v>98</v>
      </c>
      <c r="G27" s="1"/>
    </row>
    <row r="28" spans="2:7">
      <c r="B28" s="49" t="s">
        <v>101</v>
      </c>
      <c r="C28" s="96">
        <v>0.56999999999999995</v>
      </c>
      <c r="D28" s="35" t="s">
        <v>102</v>
      </c>
      <c r="E28" s="34" t="s">
        <v>103</v>
      </c>
    </row>
    <row r="29" spans="2:7">
      <c r="B29" s="49" t="s">
        <v>104</v>
      </c>
      <c r="C29" s="96">
        <v>0.35</v>
      </c>
      <c r="D29" s="35" t="s">
        <v>105</v>
      </c>
      <c r="E29" s="34" t="s">
        <v>106</v>
      </c>
    </row>
    <row r="30" spans="2:7">
      <c r="B30" s="49" t="s">
        <v>107</v>
      </c>
      <c r="C30" s="96">
        <v>0.61</v>
      </c>
      <c r="D30" s="35" t="s">
        <v>108</v>
      </c>
      <c r="E30" s="34" t="s">
        <v>109</v>
      </c>
    </row>
    <row r="31" spans="2:7">
      <c r="B31" s="49" t="s">
        <v>110</v>
      </c>
      <c r="C31" s="96">
        <v>0.28999999999999998</v>
      </c>
      <c r="D31" s="35" t="s">
        <v>163</v>
      </c>
      <c r="E31" s="34">
        <v>20</v>
      </c>
    </row>
    <row r="32" spans="2:7">
      <c r="B32" s="49" t="s">
        <v>111</v>
      </c>
      <c r="C32" s="96">
        <v>0.25</v>
      </c>
      <c r="D32" s="35" t="s">
        <v>112</v>
      </c>
      <c r="E32" s="34" t="s">
        <v>113</v>
      </c>
    </row>
    <row r="33" spans="2:5">
      <c r="B33" s="49" t="s">
        <v>114</v>
      </c>
      <c r="C33" s="96">
        <v>0.4</v>
      </c>
      <c r="D33" s="35" t="s">
        <v>115</v>
      </c>
      <c r="E33" s="34" t="s">
        <v>116</v>
      </c>
    </row>
    <row r="34" spans="2:5">
      <c r="B34" s="49" t="s">
        <v>117</v>
      </c>
      <c r="C34" s="96">
        <v>0.45</v>
      </c>
      <c r="D34" s="35" t="s">
        <v>118</v>
      </c>
      <c r="E34" s="34" t="s">
        <v>119</v>
      </c>
    </row>
    <row r="35" spans="2:5">
      <c r="B35" s="49" t="s">
        <v>120</v>
      </c>
      <c r="C35" s="96">
        <v>0.3</v>
      </c>
      <c r="D35" s="35" t="s">
        <v>164</v>
      </c>
      <c r="E35" s="34" t="s">
        <v>121</v>
      </c>
    </row>
    <row r="36" spans="2:5">
      <c r="B36" s="49" t="s">
        <v>122</v>
      </c>
      <c r="C36" s="96">
        <v>0.5</v>
      </c>
      <c r="D36" s="35" t="s">
        <v>165</v>
      </c>
      <c r="E36" s="34" t="s">
        <v>123</v>
      </c>
    </row>
    <row r="37" spans="2:5">
      <c r="B37" s="49" t="s">
        <v>183</v>
      </c>
      <c r="C37" s="96">
        <v>0.6</v>
      </c>
      <c r="D37" s="35" t="s">
        <v>124</v>
      </c>
      <c r="E37" s="34">
        <v>25114</v>
      </c>
    </row>
    <row r="38" spans="2:5">
      <c r="B38" s="49" t="s">
        <v>125</v>
      </c>
      <c r="C38" s="96">
        <v>0.15</v>
      </c>
      <c r="D38" s="35" t="s">
        <v>264</v>
      </c>
      <c r="E38" s="34" t="s">
        <v>126</v>
      </c>
    </row>
    <row r="39" spans="2:5">
      <c r="B39" s="49" t="s">
        <v>127</v>
      </c>
      <c r="C39" s="96">
        <v>0.3</v>
      </c>
      <c r="D39" s="35" t="s">
        <v>128</v>
      </c>
      <c r="E39" s="34" t="s">
        <v>129</v>
      </c>
    </row>
    <row r="40" spans="2:5">
      <c r="B40" s="49" t="s">
        <v>130</v>
      </c>
      <c r="C40" s="96">
        <v>0.7</v>
      </c>
      <c r="D40" s="35" t="s">
        <v>131</v>
      </c>
      <c r="E40" s="34" t="s">
        <v>169</v>
      </c>
    </row>
    <row r="41" spans="2:5">
      <c r="B41" s="49" t="s">
        <v>132</v>
      </c>
      <c r="C41" s="96">
        <v>0.05</v>
      </c>
      <c r="D41" s="35" t="s">
        <v>133</v>
      </c>
      <c r="E41" s="34" t="s">
        <v>170</v>
      </c>
    </row>
    <row r="42" spans="2:5">
      <c r="B42" s="49" t="s">
        <v>135</v>
      </c>
      <c r="C42" s="96">
        <v>0</v>
      </c>
      <c r="D42" s="33" t="s">
        <v>134</v>
      </c>
      <c r="E42" s="34" t="s">
        <v>98</v>
      </c>
    </row>
  </sheetData>
  <sheetProtection algorithmName="SHA-512" hashValue="NJiP7+elQ8QVMgnnZMH/MWTirWA8CBqPwE099cSq/pc54+8k1G8Fzwdn8bMRZyb8/AeSH4vDKC+idVzZsKjYTw==" saltValue="x/nKvVjooExQMR03UETAhw==" spinCount="100000" sheet="1" objects="1" scenarios="1"/>
  <customSheetViews>
    <customSheetView guid="{475135EF-B9F1-482D-ABF1-1E525C0245D4}" scale="60" showGridLines="0" fitToPage="1">
      <pageMargins left="0" right="0" top="0" bottom="0" header="0" footer="0"/>
      <pageSetup paperSize="8" scale="77" orientation="landscape" r:id="rId1"/>
    </customSheetView>
  </customSheetViews>
  <pageMargins left="0.25" right="0.25" top="0.75" bottom="0.75" header="0.3" footer="0.3"/>
  <pageSetup paperSize="8" orientation="landscape" r:id="rId2"/>
  <headerFooter>
    <oddHeader>&amp;C&amp;"Times New Roman,Regular"&amp;12&amp;K99CC00Public - عام</oddHeader>
    <evenHeader>&amp;C&amp;"Times New Roman,Regular"&amp;12&amp;K99CC00Public - عام</evenHeader>
    <firstHeader>&amp;C&amp;"Times New Roman,Regular"&amp;12&amp;K99CC00Public - عام</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Category xmlns="e8929bd0-5c66-4f49-9b02-f60c96f517a4">6</Category>
    <PublishingStartDate xmlns="http://schemas.microsoft.com/sharepoint/v3" xsi:nil="true"/>
  </documentManagement>
</p:properties>
</file>

<file path=customXml/item2.xml><?xml version="1.0" encoding="utf-8"?>
<sisl xmlns:xsd="http://www.w3.org/2001/XMLSchema" xmlns:xsi="http://www.w3.org/2001/XMLSchema-instance" xmlns="http://www.boldonjames.com/2008/01/sie/internal/label" sislVersion="0" policy="1472662e-cd8d-4c76-8522-3a324fe1f54e" origin="userSelected">
  <element uid="aa34e39b-dcf3-431f-b0cd-3ea05dafac9d" value=""/>
</sis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B7008BC8C3CEFE48BB06D62C49977577" ma:contentTypeVersion="2" ma:contentTypeDescription="Create a new document." ma:contentTypeScope="" ma:versionID="6189325c0194b7e784f15ab9fb0add3e">
  <xsd:schema xmlns:xsd="http://www.w3.org/2001/XMLSchema" xmlns:xs="http://www.w3.org/2001/XMLSchema" xmlns:p="http://schemas.microsoft.com/office/2006/metadata/properties" xmlns:ns1="http://schemas.microsoft.com/sharepoint/v3" xmlns:ns2="e8929bd0-5c66-4f49-9b02-f60c96f517a4" targetNamespace="http://schemas.microsoft.com/office/2006/metadata/properties" ma:root="true" ma:fieldsID="43e10f68a4370577069a7eb2890c4fe9" ns1:_="" ns2:_="">
    <xsd:import namespace="http://schemas.microsoft.com/sharepoint/v3"/>
    <xsd:import namespace="e8929bd0-5c66-4f49-9b02-f60c96f517a4"/>
    <xsd:element name="properties">
      <xsd:complexType>
        <xsd:sequence>
          <xsd:element name="documentManagement">
            <xsd:complexType>
              <xsd:all>
                <xsd:element ref="ns1:PublishingStartDate" minOccurs="0"/>
                <xsd:element ref="ns1:PublishingExpirationDate" minOccurs="0"/>
                <xsd:element ref="ns2: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8929bd0-5c66-4f49-9b02-f60c96f517a4" elementFormDefault="qualified">
    <xsd:import namespace="http://schemas.microsoft.com/office/2006/documentManagement/types"/>
    <xsd:import namespace="http://schemas.microsoft.com/office/infopath/2007/PartnerControls"/>
    <xsd:element name="Category" ma:index="10" nillable="true" ma:displayName="Category" ma:list="{61c6678f-393e-4e39-9ad5-312d9cbf130e}" ma:internalName="Category"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EA932C-B00E-4741-AC4B-9A77602DDD56}">
  <ds:schemaRefs>
    <ds:schemaRef ds:uri="e8929bd0-5c66-4f49-9b02-f60c96f517a4"/>
    <ds:schemaRef ds:uri="http://schemas.microsoft.com/office/2006/metadata/properties"/>
    <ds:schemaRef ds:uri="http://www.w3.org/XML/1998/namespace"/>
    <ds:schemaRef ds:uri="http://schemas.microsoft.com/office/infopath/2007/PartnerControls"/>
    <ds:schemaRef ds:uri="http://purl.org/dc/elements/1.1/"/>
    <ds:schemaRef ds:uri="http://schemas.microsoft.com/office/2006/documentManagement/types"/>
    <ds:schemaRef ds:uri="http://purl.org/dc/terms/"/>
    <ds:schemaRef ds:uri="http://schemas.openxmlformats.org/package/2006/metadata/core-properties"/>
    <ds:schemaRef ds:uri="http://schemas.microsoft.com/sharepoint/v3"/>
    <ds:schemaRef ds:uri="http://purl.org/dc/dcmitype/"/>
  </ds:schemaRefs>
</ds:datastoreItem>
</file>

<file path=customXml/itemProps2.xml><?xml version="1.0" encoding="utf-8"?>
<ds:datastoreItem xmlns:ds="http://schemas.openxmlformats.org/officeDocument/2006/customXml" ds:itemID="{66ABDC26-A563-42B6-B12E-AF31B2C6E66E}">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7F6D7BAA-0911-462E-97DF-C78EC41DABA2}">
  <ds:schemaRefs>
    <ds:schemaRef ds:uri="http://schemas.microsoft.com/DataMashup"/>
  </ds:schemaRefs>
</ds:datastoreItem>
</file>

<file path=customXml/itemProps4.xml><?xml version="1.0" encoding="utf-8"?>
<ds:datastoreItem xmlns:ds="http://schemas.openxmlformats.org/officeDocument/2006/customXml" ds:itemID="{9212E0FB-4CDF-45A7-BCEC-9F7ECEA82F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8929bd0-5c66-4f49-9b02-f60c96f517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4CD69D27-EBEC-4F8E-BC02-08AC12CE6D2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Overview</vt:lpstr>
      <vt:lpstr>Section 1. General Information</vt:lpstr>
      <vt:lpstr>Section 2. Evaluation</vt:lpstr>
      <vt:lpstr>Section 3. Labor</vt:lpstr>
      <vt:lpstr>Section 4. Goods and Services</vt:lpstr>
      <vt:lpstr>Section 4.1 Extra Disclosure</vt:lpstr>
      <vt:lpstr>Section 5. CAPEX</vt:lpstr>
      <vt:lpstr>Section 6. Capacity Building</vt:lpstr>
      <vt:lpstr>Section 7. Depreciation &amp; Amor.</vt:lpstr>
      <vt:lpstr>Appendix A</vt:lpstr>
      <vt:lpstr>Appendix B</vt:lpstr>
      <vt:lpstr>Goods</vt:lpstr>
      <vt:lpstr>Services</vt:lpstr>
    </vt:vector>
  </TitlesOfParts>
  <Manager/>
  <Company>The Boston Consulting Group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Local Content Score Template - v.1</dc:title>
  <dc:subject/>
  <dc:creator>Hasan Alsuhebany</dc:creator>
  <cp:keywords/>
  <dc:description/>
  <cp:lastModifiedBy>Mohammad Alogiely</cp:lastModifiedBy>
  <cp:revision/>
  <dcterms:created xsi:type="dcterms:W3CDTF">2017-06-19T08:29:53Z</dcterms:created>
  <dcterms:modified xsi:type="dcterms:W3CDTF">2026-03-01T08:25:34Z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0x010100B7008BC8C3CEFE48BB06D62C49977577</vt:lpwstr>
  </property>
  <property fmtid="{D5CDD505-2E9C-101B-9397-08002B2CF9AE}" pid="4" name="docIndexRef">
    <vt:lpwstr>0d5a76a5-02c4-4b17-a7fe-10d03ff000f3</vt:lpwstr>
  </property>
  <property fmtid="{D5CDD505-2E9C-101B-9397-08002B2CF9AE}" pid="5" name="bjSaver">
    <vt:lpwstr>uOMm0A6D+JmD1V/lD3PE3U8A7q5vgfmI</vt:lpwstr>
  </property>
  <property fmtid="{D5CDD505-2E9C-101B-9397-08002B2CF9AE}" pid="6" name="bjDocumentLabelXML">
    <vt:lpwstr>&lt;?xml version="1.0" encoding="us-ascii"?&gt;&lt;sisl xmlns:xsd="http://www.w3.org/2001/XMLSchema" xmlns:xsi="http://www.w3.org/2001/XMLSchema-instance" sislVersion="0" policy="1472662e-cd8d-4c76-8522-3a324fe1f54e" origin="userSelected" xmlns="http://www.boldonj</vt:lpwstr>
  </property>
  <property fmtid="{D5CDD505-2E9C-101B-9397-08002B2CF9AE}" pid="7" name="bjDocumentLabelXML-0">
    <vt:lpwstr>ames.com/2008/01/sie/internal/label"&gt;&lt;element uid="aa34e39b-dcf3-431f-b0cd-3ea05dafac9d" value="" /&gt;&lt;/sisl&gt;</vt:lpwstr>
  </property>
  <property fmtid="{D5CDD505-2E9C-101B-9397-08002B2CF9AE}" pid="8" name="bjDocumentSecurityLabel">
    <vt:lpwstr>Your Marking Format here</vt:lpwstr>
  </property>
  <property fmtid="{D5CDD505-2E9C-101B-9397-08002B2CF9AE}" pid="9" name="bjClsUserRVM">
    <vt:lpwstr>[]</vt:lpwstr>
  </property>
  <property fmtid="{D5CDD505-2E9C-101B-9397-08002B2CF9AE}" pid="10" name="bjCentreHeaderLabel-first">
    <vt:lpwstr>&amp;"Times New Roman,Regular"&amp;12&amp;K99CC00Public - عام</vt:lpwstr>
  </property>
  <property fmtid="{D5CDD505-2E9C-101B-9397-08002B2CF9AE}" pid="11" name="bjCentreHeaderLabel-even">
    <vt:lpwstr>&amp;"Times New Roman,Regular"&amp;12&amp;K99CC00Public - عام</vt:lpwstr>
  </property>
  <property fmtid="{D5CDD505-2E9C-101B-9397-08002B2CF9AE}" pid="12" name="bjCentreHeaderLabel">
    <vt:lpwstr>&amp;"Times New Roman,Regular"&amp;12&amp;K99CC00Public - عام</vt:lpwstr>
  </property>
</Properties>
</file>